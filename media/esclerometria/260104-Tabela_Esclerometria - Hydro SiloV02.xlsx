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G:\Drives compartilhados\068-23-HydroSilo-OS13e14\250314-Exec\250815-RelatoriosTecnicos\Ensaios Caracterizacao do concreto\251122-R01\"/>
    </mc:Choice>
  </mc:AlternateContent>
  <xr:revisionPtr revIDLastSave="0" documentId="13_ncr:1_{71261F2D-52B9-41E5-AEB8-167B7BC1E272}" xr6:coauthVersionLast="47" xr6:coauthVersionMax="47" xr10:uidLastSave="{00000000-0000-0000-0000-000000000000}"/>
  <bookViews>
    <workbookView xWindow="-96" yWindow="-96" windowWidth="23232" windowHeight="12432" activeTab="1" xr2:uid="{9A746B6E-5B14-49D6-94F2-6D86E29A27E7}"/>
  </bookViews>
  <sheets>
    <sheet name="TABELA CARBONATACAO" sheetId="4" r:id="rId1"/>
    <sheet name="TABELA_ESCLEROMETRIA Rev" sheetId="9" r:id="rId2"/>
    <sheet name="Curvas" sheetId="8" r:id="rId3"/>
    <sheet name="compPauloBArroso" sheetId="10" r:id="rId4"/>
    <sheet name="SonRab" sheetId="11" r:id="rId5"/>
    <sheet name="compfckPauloBarroso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9" l="1"/>
  <c r="W2" i="11"/>
  <c r="U12" i="11" s="1"/>
  <c r="R2" i="11"/>
  <c r="Q23" i="11" s="1"/>
  <c r="O14" i="11"/>
  <c r="O8" i="11"/>
  <c r="O15" i="11"/>
  <c r="O5" i="11"/>
  <c r="O4" i="11"/>
  <c r="O9" i="11"/>
  <c r="O10" i="11"/>
  <c r="O16" i="11"/>
  <c r="O17" i="11"/>
  <c r="O6" i="11"/>
  <c r="O19" i="11"/>
  <c r="O20" i="11"/>
  <c r="O11" i="11"/>
  <c r="O18" i="11"/>
  <c r="O7" i="11"/>
  <c r="O12" i="11"/>
  <c r="O13" i="11"/>
  <c r="AS17" i="9" l="1"/>
  <c r="AS16" i="9"/>
  <c r="AS20" i="9" l="1"/>
  <c r="D14" i="11"/>
  <c r="AF25" i="9" l="1"/>
  <c r="AF22" i="9"/>
  <c r="AF26" i="9"/>
  <c r="AF21" i="9"/>
  <c r="AF27" i="9"/>
  <c r="AF28" i="9"/>
  <c r="AF29" i="9"/>
  <c r="AF24" i="9"/>
  <c r="AF30" i="9"/>
  <c r="AF31" i="9"/>
  <c r="AF32" i="9"/>
  <c r="AC32" i="9"/>
  <c r="AC27" i="9"/>
  <c r="AC28" i="9"/>
  <c r="AC29" i="9"/>
  <c r="AC30" i="9"/>
  <c r="AC31" i="9"/>
  <c r="U32" i="9"/>
  <c r="W32" i="9" s="1"/>
  <c r="U31" i="9"/>
  <c r="W31" i="9" s="1"/>
  <c r="U30" i="9"/>
  <c r="W30" i="9" s="1"/>
  <c r="U29" i="9"/>
  <c r="W29" i="9" s="1"/>
  <c r="U28" i="9"/>
  <c r="W28" i="9" s="1"/>
  <c r="U27" i="9"/>
  <c r="V27" i="9" s="1"/>
  <c r="U26" i="9"/>
  <c r="W26" i="9" s="1"/>
  <c r="U25" i="9"/>
  <c r="W25" i="9" s="1"/>
  <c r="U24" i="9"/>
  <c r="V24" i="9" s="1"/>
  <c r="U23" i="9"/>
  <c r="V23" i="9" s="1"/>
  <c r="U22" i="9"/>
  <c r="W22" i="9" s="1"/>
  <c r="U21" i="9"/>
  <c r="W21" i="9" s="1"/>
  <c r="U20" i="9"/>
  <c r="V20" i="9" s="1"/>
  <c r="U19" i="9"/>
  <c r="V19" i="9" s="1"/>
  <c r="U18" i="9"/>
  <c r="W18" i="9" s="1"/>
  <c r="U17" i="9"/>
  <c r="W17" i="9" s="1"/>
  <c r="U16" i="9"/>
  <c r="V16" i="9" s="1"/>
  <c r="U15" i="9"/>
  <c r="V15" i="9" s="1"/>
  <c r="U14" i="9"/>
  <c r="W14" i="9" s="1"/>
  <c r="U13" i="9"/>
  <c r="V13" i="9" s="1"/>
  <c r="U12" i="9"/>
  <c r="V12" i="9" s="1"/>
  <c r="U11" i="9"/>
  <c r="V11" i="9" s="1"/>
  <c r="U10" i="9"/>
  <c r="W10" i="9" s="1"/>
  <c r="U9" i="9"/>
  <c r="W9" i="9" s="1"/>
  <c r="U8" i="9"/>
  <c r="V8" i="9" s="1"/>
  <c r="U7" i="9"/>
  <c r="V7" i="9" s="1"/>
  <c r="U6" i="9"/>
  <c r="W6" i="9" s="1"/>
  <c r="BD54" i="10" a="1"/>
  <c r="BD54" i="10" s="1"/>
  <c r="BD53" i="10" a="1"/>
  <c r="BD53" i="10" s="1"/>
  <c r="BD52" i="10" a="1"/>
  <c r="BD52" i="10" s="1"/>
  <c r="BD51" i="10" a="1"/>
  <c r="BD51" i="10" s="1"/>
  <c r="BD50" i="10" a="1"/>
  <c r="BD50" i="10" s="1"/>
  <c r="BD49" i="10" a="1"/>
  <c r="BD49" i="10" s="1"/>
  <c r="BD48" i="10" a="1"/>
  <c r="BD48" i="10" s="1"/>
  <c r="BD47" i="10" a="1"/>
  <c r="BD47" i="10" s="1"/>
  <c r="BD46" i="10" a="1"/>
  <c r="BD46" i="10" s="1"/>
  <c r="BD45" i="10" a="1"/>
  <c r="BD45" i="10" s="1"/>
  <c r="BD44" i="10" a="1"/>
  <c r="BD44" i="10" s="1"/>
  <c r="AH43" i="10" a="1"/>
  <c r="AH43" i="10" s="1"/>
  <c r="AC43" i="10"/>
  <c r="U43" i="10"/>
  <c r="AH42" i="10" a="1"/>
  <c r="AH42" i="10" s="1"/>
  <c r="AC42" i="10"/>
  <c r="U42" i="10"/>
  <c r="V42" i="10" s="1"/>
  <c r="AH41" i="10" a="1"/>
  <c r="AH41" i="10" s="1"/>
  <c r="AC41" i="10"/>
  <c r="W41" i="10"/>
  <c r="U41" i="10"/>
  <c r="V41" i="10" s="1"/>
  <c r="AH40" i="10" a="1"/>
  <c r="AH40" i="10" s="1"/>
  <c r="AC40" i="10"/>
  <c r="U40" i="10"/>
  <c r="V40" i="10" s="1"/>
  <c r="AH39" i="10" a="1"/>
  <c r="AH39" i="10" s="1"/>
  <c r="AC39" i="10"/>
  <c r="U39" i="10"/>
  <c r="W39" i="10" s="1"/>
  <c r="AH38" i="10" a="1"/>
  <c r="AH38" i="10" s="1"/>
  <c r="AC38" i="10"/>
  <c r="U38" i="10"/>
  <c r="V38" i="10" s="1"/>
  <c r="AH37" i="10" a="1"/>
  <c r="AH37" i="10" s="1"/>
  <c r="AC37" i="10"/>
  <c r="U37" i="10"/>
  <c r="V37" i="10" s="1"/>
  <c r="AH36" i="10" a="1"/>
  <c r="AH36" i="10" s="1"/>
  <c r="AC36" i="10"/>
  <c r="U36" i="10"/>
  <c r="W36" i="10" s="1"/>
  <c r="AH35" i="10" a="1"/>
  <c r="AH35" i="10" s="1"/>
  <c r="AC35" i="10"/>
  <c r="U35" i="10"/>
  <c r="V35" i="10" s="1"/>
  <c r="AH34" i="10" a="1"/>
  <c r="AH34" i="10" s="1"/>
  <c r="AC34" i="10"/>
  <c r="U34" i="10"/>
  <c r="AH33" i="10" a="1"/>
  <c r="AH33" i="10" s="1"/>
  <c r="AC33" i="10"/>
  <c r="U33" i="10"/>
  <c r="W33" i="10" s="1"/>
  <c r="AH32" i="10" a="1"/>
  <c r="AH32" i="10" s="1"/>
  <c r="AC32" i="10"/>
  <c r="U32" i="10"/>
  <c r="AH31" i="10" a="1"/>
  <c r="AH31" i="10" s="1"/>
  <c r="AC31" i="10"/>
  <c r="U31" i="10"/>
  <c r="W31" i="10" s="1"/>
  <c r="AH30" i="10" a="1"/>
  <c r="AH30" i="10" s="1"/>
  <c r="AC30" i="10"/>
  <c r="U30" i="10"/>
  <c r="V30" i="10" s="1"/>
  <c r="AH29" i="10" a="1"/>
  <c r="AH29" i="10" s="1"/>
  <c r="AC29" i="10"/>
  <c r="U29" i="10"/>
  <c r="V29" i="10" s="1"/>
  <c r="AH28" i="10" a="1"/>
  <c r="AH28" i="10" s="1"/>
  <c r="AC28" i="10"/>
  <c r="U28" i="10"/>
  <c r="W28" i="10" s="1"/>
  <c r="AC27" i="10"/>
  <c r="U27" i="10"/>
  <c r="W27" i="10" s="1"/>
  <c r="AC26" i="10"/>
  <c r="U26" i="10"/>
  <c r="V26" i="10" s="1"/>
  <c r="AC25" i="10"/>
  <c r="U25" i="10"/>
  <c r="W25" i="10" s="1"/>
  <c r="AC24" i="10"/>
  <c r="U24" i="10"/>
  <c r="V24" i="10" s="1"/>
  <c r="AC23" i="10"/>
  <c r="U23" i="10"/>
  <c r="W23" i="10" s="1"/>
  <c r="AC22" i="10"/>
  <c r="U22" i="10"/>
  <c r="AC21" i="10"/>
  <c r="U21" i="10"/>
  <c r="W21" i="10" s="1"/>
  <c r="AC20" i="10"/>
  <c r="U20" i="10"/>
  <c r="V20" i="10" s="1"/>
  <c r="AC19" i="10"/>
  <c r="U19" i="10"/>
  <c r="V19" i="10" s="1"/>
  <c r="AC18" i="10"/>
  <c r="U18" i="10"/>
  <c r="W18" i="10" s="1"/>
  <c r="AQ17" i="10"/>
  <c r="AC17" i="10"/>
  <c r="U17" i="10"/>
  <c r="W17" i="10" s="1"/>
  <c r="AQ16" i="10"/>
  <c r="AC16" i="10"/>
  <c r="U16" i="10"/>
  <c r="W16" i="10" s="1"/>
  <c r="AC15" i="10"/>
  <c r="U15" i="10"/>
  <c r="V15" i="10" s="1"/>
  <c r="AC14" i="10"/>
  <c r="U14" i="10"/>
  <c r="W14" i="10" s="1"/>
  <c r="AC13" i="10"/>
  <c r="U13" i="10"/>
  <c r="AC12" i="10"/>
  <c r="U12" i="10"/>
  <c r="W12" i="10" s="1"/>
  <c r="AC11" i="10"/>
  <c r="U11" i="10"/>
  <c r="W11" i="10" s="1"/>
  <c r="AC10" i="10"/>
  <c r="U10" i="10"/>
  <c r="W10" i="10" s="1"/>
  <c r="AC9" i="10"/>
  <c r="U9" i="10"/>
  <c r="W9" i="10" s="1"/>
  <c r="AC8" i="10"/>
  <c r="U8" i="10"/>
  <c r="W8" i="10" s="1"/>
  <c r="AC7" i="10"/>
  <c r="U7" i="10"/>
  <c r="V7" i="10" s="1"/>
  <c r="AC6" i="10"/>
  <c r="U6" i="10"/>
  <c r="W6" i="10" s="1"/>
  <c r="AC4" i="10"/>
  <c r="BE54" i="9" a="1"/>
  <c r="BE54" i="9" s="1"/>
  <c r="BE53" i="9" a="1"/>
  <c r="BE53" i="9" s="1"/>
  <c r="BE52" i="9" a="1"/>
  <c r="BE52" i="9" s="1"/>
  <c r="BE51" i="9" a="1"/>
  <c r="BE51" i="9" s="1"/>
  <c r="BE50" i="9" a="1"/>
  <c r="BE50" i="9" s="1"/>
  <c r="BE49" i="9" a="1"/>
  <c r="BE49" i="9" s="1"/>
  <c r="BE48" i="9" a="1"/>
  <c r="BE48" i="9" s="1"/>
  <c r="BE47" i="9" a="1"/>
  <c r="BE47" i="9" s="1"/>
  <c r="BE46" i="9" a="1"/>
  <c r="BE46" i="9" s="1"/>
  <c r="BE45" i="9" a="1"/>
  <c r="BE45" i="9" s="1"/>
  <c r="BE44" i="9" a="1"/>
  <c r="BE44" i="9" s="1"/>
  <c r="X20" i="10" l="1"/>
  <c r="W20" i="10"/>
  <c r="W26" i="10"/>
  <c r="V8" i="10"/>
  <c r="V21" i="10"/>
  <c r="X21" i="10" s="1"/>
  <c r="V17" i="10"/>
  <c r="X17" i="10" s="1"/>
  <c r="V12" i="10"/>
  <c r="V16" i="10"/>
  <c r="X16" i="10" s="1"/>
  <c r="AE16" i="10" s="1"/>
  <c r="V25" i="10"/>
  <c r="X25" i="10" s="1"/>
  <c r="Y25" i="10" s="1"/>
  <c r="W40" i="10"/>
  <c r="V6" i="10"/>
  <c r="X6" i="10" s="1"/>
  <c r="AE6" i="10" s="1"/>
  <c r="X40" i="10"/>
  <c r="AE40" i="10" s="1"/>
  <c r="V10" i="10"/>
  <c r="X10" i="10" s="1"/>
  <c r="Y10" i="10" s="1"/>
  <c r="AQ20" i="10"/>
  <c r="X26" i="10"/>
  <c r="AE26" i="10" s="1"/>
  <c r="W37" i="10"/>
  <c r="X37" i="10" s="1"/>
  <c r="W30" i="10"/>
  <c r="X30" i="10" s="1"/>
  <c r="W35" i="10"/>
  <c r="X35" i="10" s="1"/>
  <c r="X41" i="10"/>
  <c r="AE41" i="10" s="1"/>
  <c r="W38" i="10"/>
  <c r="V18" i="10"/>
  <c r="W7" i="10"/>
  <c r="X38" i="10"/>
  <c r="W42" i="10"/>
  <c r="X42" i="10" s="1"/>
  <c r="V23" i="10"/>
  <c r="X23" i="10" s="1"/>
  <c r="X8" i="10"/>
  <c r="Y8" i="10" s="1"/>
  <c r="V14" i="10"/>
  <c r="X14" i="10" s="1"/>
  <c r="W19" i="10"/>
  <c r="X19" i="10" s="1"/>
  <c r="W29" i="10"/>
  <c r="X29" i="10" s="1"/>
  <c r="W24" i="10"/>
  <c r="X24" i="10" s="1"/>
  <c r="W7" i="9"/>
  <c r="X7" i="9" s="1"/>
  <c r="AE7" i="9" s="1"/>
  <c r="W19" i="9"/>
  <c r="X19" i="9" s="1"/>
  <c r="AE19" i="9" s="1"/>
  <c r="W13" i="9"/>
  <c r="X13" i="9" s="1"/>
  <c r="AE13" i="9" s="1"/>
  <c r="W27" i="9"/>
  <c r="X27" i="9" s="1"/>
  <c r="W15" i="9"/>
  <c r="X15" i="9" s="1"/>
  <c r="AE15" i="9" s="1"/>
  <c r="V29" i="9"/>
  <c r="X29" i="9" s="1"/>
  <c r="AE29" i="9" s="1"/>
  <c r="AG29" i="9" s="1"/>
  <c r="W11" i="9"/>
  <c r="X11" i="9" s="1"/>
  <c r="AE11" i="9" s="1"/>
  <c r="W23" i="9"/>
  <c r="X23" i="9" s="1"/>
  <c r="AE23" i="9" s="1"/>
  <c r="V30" i="9"/>
  <c r="X30" i="9" s="1"/>
  <c r="V28" i="9"/>
  <c r="X28" i="9" s="1"/>
  <c r="V32" i="9"/>
  <c r="X32" i="9" s="1"/>
  <c r="V31" i="9"/>
  <c r="X31" i="9" s="1"/>
  <c r="W8" i="9"/>
  <c r="X8" i="9" s="1"/>
  <c r="AE8" i="9" s="1"/>
  <c r="W12" i="9"/>
  <c r="X12" i="9" s="1"/>
  <c r="W16" i="9"/>
  <c r="X16" i="9" s="1"/>
  <c r="AE16" i="9" s="1"/>
  <c r="W20" i="9"/>
  <c r="X20" i="9" s="1"/>
  <c r="AE20" i="9" s="1"/>
  <c r="W24" i="9"/>
  <c r="X24" i="9" s="1"/>
  <c r="V6" i="9"/>
  <c r="X6" i="9" s="1"/>
  <c r="AE6" i="9" s="1"/>
  <c r="V10" i="9"/>
  <c r="X10" i="9" s="1"/>
  <c r="AE10" i="9" s="1"/>
  <c r="V14" i="9"/>
  <c r="X14" i="9" s="1"/>
  <c r="AE14" i="9" s="1"/>
  <c r="V18" i="9"/>
  <c r="X18" i="9" s="1"/>
  <c r="AE18" i="9" s="1"/>
  <c r="V22" i="9"/>
  <c r="X22" i="9" s="1"/>
  <c r="V26" i="9"/>
  <c r="X26" i="9" s="1"/>
  <c r="V9" i="9"/>
  <c r="V17" i="9"/>
  <c r="X17" i="9" s="1"/>
  <c r="AE17" i="9" s="1"/>
  <c r="V21" i="9"/>
  <c r="X21" i="9" s="1"/>
  <c r="V25" i="9"/>
  <c r="X25" i="9" s="1"/>
  <c r="AE8" i="10"/>
  <c r="AF8" i="10" s="1"/>
  <c r="Z8" i="10"/>
  <c r="Z16" i="10"/>
  <c r="Y16" i="10"/>
  <c r="Z25" i="10"/>
  <c r="AE17" i="10"/>
  <c r="Z17" i="10"/>
  <c r="Y17" i="10"/>
  <c r="V34" i="10"/>
  <c r="W34" i="10"/>
  <c r="W43" i="10"/>
  <c r="V43" i="10"/>
  <c r="X43" i="10" s="1"/>
  <c r="W22" i="10"/>
  <c r="V22" i="10"/>
  <c r="X12" i="10"/>
  <c r="Y20" i="10"/>
  <c r="AE20" i="10"/>
  <c r="Z20" i="10"/>
  <c r="W32" i="10"/>
  <c r="V32" i="10"/>
  <c r="W13" i="10"/>
  <c r="V13" i="10"/>
  <c r="X18" i="10"/>
  <c r="Z10" i="10"/>
  <c r="W15" i="10"/>
  <c r="X15" i="10" s="1"/>
  <c r="Y21" i="10"/>
  <c r="AE21" i="10"/>
  <c r="Z21" i="10"/>
  <c r="AE38" i="10"/>
  <c r="Z38" i="10"/>
  <c r="Y38" i="10"/>
  <c r="X7" i="10"/>
  <c r="V31" i="10"/>
  <c r="X31" i="10" s="1"/>
  <c r="V39" i="10"/>
  <c r="X39" i="10" s="1"/>
  <c r="V11" i="10"/>
  <c r="X11" i="10" s="1"/>
  <c r="V28" i="10"/>
  <c r="X28" i="10" s="1"/>
  <c r="V36" i="10"/>
  <c r="X36" i="10" s="1"/>
  <c r="V9" i="10"/>
  <c r="X9" i="10" s="1"/>
  <c r="V27" i="10"/>
  <c r="X27" i="10" s="1"/>
  <c r="V33" i="10"/>
  <c r="X33" i="10" s="1"/>
  <c r="H5" i="8"/>
  <c r="H4" i="8" a="1"/>
  <c r="H4" i="8" s="1"/>
  <c r="H7" i="8"/>
  <c r="H8" i="8"/>
  <c r="H3" i="8" a="1"/>
  <c r="H3" i="8" s="1"/>
  <c r="E47" i="8"/>
  <c r="F47" i="8" s="1"/>
  <c r="E48" i="8"/>
  <c r="F48" i="8" s="1"/>
  <c r="E49" i="8"/>
  <c r="F49" i="8" s="1"/>
  <c r="E50" i="8"/>
  <c r="F50" i="8" s="1"/>
  <c r="E51" i="8"/>
  <c r="F51" i="8" s="1"/>
  <c r="E52" i="8"/>
  <c r="F52" i="8" s="1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59" i="8"/>
  <c r="F59" i="8" s="1"/>
  <c r="E60" i="8"/>
  <c r="F60" i="8" s="1"/>
  <c r="E61" i="8"/>
  <c r="F61" i="8" s="1"/>
  <c r="E62" i="8"/>
  <c r="F62" i="8" s="1"/>
  <c r="E63" i="8"/>
  <c r="F63" i="8" s="1"/>
  <c r="E64" i="8"/>
  <c r="F64" i="8" s="1"/>
  <c r="E65" i="8"/>
  <c r="F65" i="8" s="1"/>
  <c r="E66" i="8"/>
  <c r="F66" i="8" s="1"/>
  <c r="E67" i="8"/>
  <c r="F67" i="8" s="1"/>
  <c r="E68" i="8"/>
  <c r="F68" i="8" s="1"/>
  <c r="E69" i="8"/>
  <c r="F69" i="8" s="1"/>
  <c r="E70" i="8"/>
  <c r="F70" i="8" s="1"/>
  <c r="E71" i="8"/>
  <c r="F71" i="8" s="1"/>
  <c r="E72" i="8"/>
  <c r="F72" i="8" s="1"/>
  <c r="E73" i="8"/>
  <c r="F73" i="8" s="1"/>
  <c r="E74" i="8"/>
  <c r="F74" i="8" s="1"/>
  <c r="E46" i="8"/>
  <c r="F46" i="8" s="1"/>
  <c r="E11" i="8"/>
  <c r="F11" i="8" s="1"/>
  <c r="E12" i="8"/>
  <c r="F12" i="8" s="1"/>
  <c r="E13" i="8"/>
  <c r="F13" i="8" s="1"/>
  <c r="E14" i="8"/>
  <c r="F14" i="8" s="1"/>
  <c r="E15" i="8"/>
  <c r="F15" i="8" s="1"/>
  <c r="E16" i="8"/>
  <c r="F16" i="8" s="1"/>
  <c r="E17" i="8"/>
  <c r="F17" i="8" s="1"/>
  <c r="E18" i="8"/>
  <c r="F18" i="8" s="1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7" i="8"/>
  <c r="F27" i="8" s="1"/>
  <c r="E28" i="8"/>
  <c r="F28" i="8" s="1"/>
  <c r="E29" i="8"/>
  <c r="F29" i="8" s="1"/>
  <c r="E30" i="8"/>
  <c r="F30" i="8" s="1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E40" i="8"/>
  <c r="F40" i="8" s="1"/>
  <c r="E41" i="8"/>
  <c r="F41" i="8" s="1"/>
  <c r="E42" i="8"/>
  <c r="F42" i="8" s="1"/>
  <c r="E10" i="8"/>
  <c r="F10" i="8" s="1"/>
  <c r="AR17" i="9"/>
  <c r="AR16" i="9"/>
  <c r="P21" i="4"/>
  <c r="Q21" i="4" s="1"/>
  <c r="P22" i="4"/>
  <c r="Q22" i="4" s="1"/>
  <c r="P23" i="4"/>
  <c r="Q23" i="4" s="1"/>
  <c r="P24" i="4"/>
  <c r="Q24" i="4" s="1"/>
  <c r="P25" i="4"/>
  <c r="Q25" i="4" s="1"/>
  <c r="P26" i="4"/>
  <c r="Q26" i="4" s="1"/>
  <c r="P27" i="4"/>
  <c r="Q27" i="4" s="1"/>
  <c r="P28" i="4"/>
  <c r="Q28" i="4" s="1"/>
  <c r="P29" i="4"/>
  <c r="Q29" i="4" s="1"/>
  <c r="P30" i="4"/>
  <c r="Q30" i="4" s="1"/>
  <c r="P31" i="4"/>
  <c r="Q31" i="4" s="1"/>
  <c r="P32" i="4"/>
  <c r="Q32" i="4" s="1"/>
  <c r="P33" i="4"/>
  <c r="Q33" i="4" s="1"/>
  <c r="AC26" i="9"/>
  <c r="AC25" i="9"/>
  <c r="AC24" i="9"/>
  <c r="AC23" i="9"/>
  <c r="AC22" i="9"/>
  <c r="AC21" i="9"/>
  <c r="AC20" i="9"/>
  <c r="AC19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6" i="9"/>
  <c r="AC4" i="9"/>
  <c r="I42" i="8"/>
  <c r="G42" i="8"/>
  <c r="I41" i="8"/>
  <c r="G41" i="8"/>
  <c r="I40" i="8"/>
  <c r="G40" i="8"/>
  <c r="I39" i="8"/>
  <c r="G39" i="8"/>
  <c r="I38" i="8"/>
  <c r="G38" i="8"/>
  <c r="I37" i="8"/>
  <c r="P68" i="4"/>
  <c r="Q68" i="4" s="1"/>
  <c r="P67" i="4"/>
  <c r="Q67" i="4"/>
  <c r="P66" i="4"/>
  <c r="Q66" i="4" s="1"/>
  <c r="P65" i="4"/>
  <c r="Q65" i="4" s="1"/>
  <c r="P64" i="4"/>
  <c r="Q64" i="4"/>
  <c r="P63" i="4"/>
  <c r="Q63" i="4" s="1"/>
  <c r="P62" i="4"/>
  <c r="Q62" i="4"/>
  <c r="P61" i="4"/>
  <c r="Q61" i="4" s="1"/>
  <c r="P60" i="4"/>
  <c r="Q60" i="4" s="1"/>
  <c r="P59" i="4"/>
  <c r="Q59" i="4"/>
  <c r="P58" i="4"/>
  <c r="Q58" i="4"/>
  <c r="P57" i="4"/>
  <c r="Q57" i="4"/>
  <c r="P56" i="4"/>
  <c r="Q56" i="4" s="1"/>
  <c r="P55" i="4"/>
  <c r="Q55" i="4" s="1"/>
  <c r="P54" i="4"/>
  <c r="Q54" i="4" s="1"/>
  <c r="P49" i="4"/>
  <c r="Q49" i="4"/>
  <c r="P48" i="4"/>
  <c r="Q48" i="4" s="1"/>
  <c r="P47" i="4"/>
  <c r="Q47" i="4" s="1"/>
  <c r="P46" i="4"/>
  <c r="Q46" i="4" s="1"/>
  <c r="P45" i="4"/>
  <c r="Q45" i="4" s="1"/>
  <c r="P44" i="4"/>
  <c r="Q44" i="4" s="1"/>
  <c r="P43" i="4"/>
  <c r="Q43" i="4" s="1"/>
  <c r="P42" i="4"/>
  <c r="Q42" i="4"/>
  <c r="P41" i="4"/>
  <c r="Q41" i="4"/>
  <c r="P40" i="4"/>
  <c r="Q40" i="4" s="1"/>
  <c r="P39" i="4"/>
  <c r="Q39" i="4" s="1"/>
  <c r="P38" i="4"/>
  <c r="Q38" i="4" s="1"/>
  <c r="P37" i="4"/>
  <c r="Q37" i="4" s="1"/>
  <c r="P36" i="4"/>
  <c r="Q36" i="4" s="1"/>
  <c r="P35" i="4"/>
  <c r="Q35" i="4" s="1"/>
  <c r="P20" i="4"/>
  <c r="Q20" i="4"/>
  <c r="X13" i="10" l="1"/>
  <c r="Y26" i="10"/>
  <c r="Z6" i="10"/>
  <c r="X34" i="10"/>
  <c r="Y6" i="10"/>
  <c r="Z26" i="10"/>
  <c r="Y40" i="10"/>
  <c r="Z40" i="10"/>
  <c r="AE25" i="10"/>
  <c r="AE10" i="10"/>
  <c r="AF10" i="10" s="1"/>
  <c r="AO10" i="10" s="1"/>
  <c r="AE26" i="9"/>
  <c r="AG26" i="9" s="1"/>
  <c r="AE27" i="9"/>
  <c r="AG27" i="9" s="1"/>
  <c r="AE12" i="9"/>
  <c r="C7" i="11" s="1"/>
  <c r="AE31" i="9"/>
  <c r="AG31" i="9" s="1"/>
  <c r="AE32" i="9"/>
  <c r="AG32" i="9" s="1"/>
  <c r="AE22" i="9"/>
  <c r="AG22" i="9" s="1"/>
  <c r="AE21" i="9"/>
  <c r="AG21" i="9" s="1"/>
  <c r="AE28" i="9"/>
  <c r="AG28" i="9" s="1"/>
  <c r="AE24" i="9"/>
  <c r="AG24" i="9" s="1"/>
  <c r="AE25" i="9"/>
  <c r="AG25" i="9" s="1"/>
  <c r="AE30" i="9"/>
  <c r="AG30" i="9" s="1"/>
  <c r="AR20" i="9"/>
  <c r="AE19" i="10"/>
  <c r="AF19" i="10" s="1"/>
  <c r="Z19" i="10"/>
  <c r="Y19" i="10"/>
  <c r="Y30" i="10"/>
  <c r="AE30" i="10"/>
  <c r="Z30" i="10"/>
  <c r="Z24" i="10"/>
  <c r="Y24" i="10"/>
  <c r="AE24" i="10"/>
  <c r="AF24" i="10" s="1"/>
  <c r="AO24" i="10" s="1"/>
  <c r="AE42" i="10"/>
  <c r="Z42" i="10"/>
  <c r="Y42" i="10"/>
  <c r="Y37" i="10"/>
  <c r="AE37" i="10"/>
  <c r="Z37" i="10"/>
  <c r="Y41" i="10"/>
  <c r="AF26" i="10"/>
  <c r="AG26" i="10" s="1"/>
  <c r="AI26" i="10" s="1"/>
  <c r="AJ26" i="10" s="1"/>
  <c r="AF16" i="10"/>
  <c r="AG16" i="10" s="1"/>
  <c r="AF20" i="10"/>
  <c r="AO20" i="10" s="1"/>
  <c r="X22" i="10"/>
  <c r="Z22" i="10" s="1"/>
  <c r="X9" i="9"/>
  <c r="Z9" i="9" s="1"/>
  <c r="AF21" i="10"/>
  <c r="AO21" i="10" s="1"/>
  <c r="Z41" i="10"/>
  <c r="AF17" i="10"/>
  <c r="AO17" i="10" s="1"/>
  <c r="AF25" i="10"/>
  <c r="AO25" i="10" s="1"/>
  <c r="Y29" i="9"/>
  <c r="X32" i="10"/>
  <c r="Y7" i="9"/>
  <c r="Z29" i="9"/>
  <c r="Z13" i="9"/>
  <c r="C8" i="11"/>
  <c r="Z15" i="9"/>
  <c r="Z19" i="9"/>
  <c r="Y19" i="9"/>
  <c r="Z7" i="9"/>
  <c r="Y15" i="9"/>
  <c r="Z30" i="9"/>
  <c r="Y30" i="9"/>
  <c r="Z23" i="9"/>
  <c r="Y23" i="9"/>
  <c r="Y11" i="9"/>
  <c r="Z11" i="9"/>
  <c r="Z27" i="9"/>
  <c r="Y27" i="9"/>
  <c r="Y13" i="9"/>
  <c r="Z31" i="9"/>
  <c r="Y31" i="9"/>
  <c r="Z28" i="9"/>
  <c r="Y28" i="9"/>
  <c r="Z32" i="9"/>
  <c r="Y32" i="9"/>
  <c r="Y12" i="9"/>
  <c r="Z12" i="9"/>
  <c r="Z21" i="9"/>
  <c r="Y21" i="9"/>
  <c r="Z17" i="9"/>
  <c r="Y17" i="9"/>
  <c r="Z10" i="9"/>
  <c r="Y10" i="9"/>
  <c r="Z6" i="9"/>
  <c r="Y6" i="9"/>
  <c r="Z8" i="9"/>
  <c r="Y8" i="9"/>
  <c r="Z16" i="9"/>
  <c r="Y16" i="9"/>
  <c r="Z24" i="9"/>
  <c r="Y24" i="9"/>
  <c r="Z26" i="9"/>
  <c r="Y26" i="9"/>
  <c r="Z22" i="9"/>
  <c r="Y22" i="9"/>
  <c r="Z25" i="9"/>
  <c r="Y25" i="9"/>
  <c r="Z18" i="9"/>
  <c r="Y18" i="9"/>
  <c r="Z20" i="9"/>
  <c r="Y20" i="9"/>
  <c r="Z14" i="9"/>
  <c r="Y14" i="9"/>
  <c r="Y15" i="10"/>
  <c r="AE15" i="10"/>
  <c r="AF15" i="10" s="1"/>
  <c r="Z15" i="10"/>
  <c r="AE35" i="10"/>
  <c r="Z35" i="10"/>
  <c r="Y35" i="10"/>
  <c r="AF6" i="10"/>
  <c r="Y22" i="10"/>
  <c r="AE27" i="10"/>
  <c r="AF27" i="10" s="1"/>
  <c r="AG27" i="10" s="1"/>
  <c r="Z27" i="10"/>
  <c r="Y27" i="10"/>
  <c r="AE9" i="10"/>
  <c r="AF9" i="10" s="1"/>
  <c r="Z9" i="10"/>
  <c r="Y9" i="10"/>
  <c r="AG21" i="10"/>
  <c r="AE36" i="10"/>
  <c r="Z36" i="10"/>
  <c r="Y36" i="10"/>
  <c r="AG19" i="10"/>
  <c r="AO19" i="10"/>
  <c r="Y29" i="10"/>
  <c r="AE29" i="10"/>
  <c r="Z29" i="10"/>
  <c r="AE43" i="10"/>
  <c r="Z43" i="10"/>
  <c r="Y43" i="10"/>
  <c r="Z32" i="10"/>
  <c r="AE32" i="10"/>
  <c r="Y32" i="10"/>
  <c r="AE39" i="10"/>
  <c r="Z39" i="10"/>
  <c r="Y39" i="10"/>
  <c r="AE31" i="10"/>
  <c r="Z31" i="10"/>
  <c r="Y31" i="10"/>
  <c r="AE11" i="10"/>
  <c r="AF11" i="10" s="1"/>
  <c r="Z11" i="10"/>
  <c r="Y11" i="10"/>
  <c r="AE14" i="10"/>
  <c r="AF14" i="10" s="1"/>
  <c r="Z14" i="10"/>
  <c r="Y14" i="10"/>
  <c r="Z12" i="10"/>
  <c r="Y12" i="10"/>
  <c r="AE12" i="10"/>
  <c r="AF12" i="10" s="1"/>
  <c r="AE7" i="10"/>
  <c r="AF7" i="10" s="1"/>
  <c r="Z7" i="10"/>
  <c r="Y7" i="10"/>
  <c r="AE18" i="10"/>
  <c r="AF18" i="10" s="1"/>
  <c r="Z18" i="10"/>
  <c r="Y18" i="10"/>
  <c r="Y23" i="10"/>
  <c r="AE23" i="10"/>
  <c r="AF23" i="10" s="1"/>
  <c r="Z23" i="10"/>
  <c r="AE33" i="10"/>
  <c r="Z33" i="10"/>
  <c r="Y33" i="10"/>
  <c r="AE13" i="10"/>
  <c r="AF13" i="10" s="1"/>
  <c r="Y13" i="10"/>
  <c r="Z13" i="10"/>
  <c r="AE34" i="10"/>
  <c r="Y34" i="10"/>
  <c r="Z34" i="10"/>
  <c r="AO8" i="10"/>
  <c r="AG8" i="10"/>
  <c r="AE28" i="10"/>
  <c r="Z28" i="10"/>
  <c r="Y28" i="10"/>
  <c r="AO16" i="10" l="1"/>
  <c r="AG24" i="10"/>
  <c r="AG25" i="10"/>
  <c r="AI25" i="10" s="1"/>
  <c r="AJ25" i="10" s="1"/>
  <c r="AG17" i="10"/>
  <c r="AG20" i="10"/>
  <c r="AF11" i="9"/>
  <c r="AG11" i="9" s="1"/>
  <c r="AF18" i="9"/>
  <c r="AG18" i="9" s="1"/>
  <c r="AF10" i="9"/>
  <c r="AG10" i="9" s="1"/>
  <c r="AF12" i="9"/>
  <c r="AG12" i="9" s="1"/>
  <c r="AF17" i="9"/>
  <c r="AG17" i="9" s="1"/>
  <c r="AF23" i="9"/>
  <c r="AG23" i="9" s="1"/>
  <c r="AF13" i="9"/>
  <c r="AG13" i="9" s="1"/>
  <c r="AF19" i="9"/>
  <c r="AG19" i="9" s="1"/>
  <c r="AF6" i="9"/>
  <c r="AG6" i="9" s="1"/>
  <c r="AF14" i="9"/>
  <c r="AG14" i="9" s="1"/>
  <c r="AF16" i="9"/>
  <c r="AG16" i="9" s="1"/>
  <c r="AF20" i="9"/>
  <c r="AG20" i="9" s="1"/>
  <c r="AF7" i="9"/>
  <c r="AG7" i="9" s="1"/>
  <c r="AF15" i="9"/>
  <c r="AG15" i="9" s="1"/>
  <c r="H22" i="11" s="1"/>
  <c r="AF8" i="9"/>
  <c r="AG8" i="9" s="1"/>
  <c r="AF9" i="9"/>
  <c r="AE9" i="9"/>
  <c r="Y9" i="9"/>
  <c r="AE33" i="9"/>
  <c r="AG10" i="10"/>
  <c r="AE22" i="10"/>
  <c r="AF22" i="10" s="1"/>
  <c r="AF44" i="10" s="1"/>
  <c r="AE34" i="9"/>
  <c r="C13" i="11"/>
  <c r="AH32" i="9"/>
  <c r="H30" i="11"/>
  <c r="AH26" i="9"/>
  <c r="H34" i="11"/>
  <c r="AH29" i="9"/>
  <c r="H31" i="11"/>
  <c r="AH31" i="9"/>
  <c r="C12" i="11"/>
  <c r="AH28" i="9"/>
  <c r="H32" i="11"/>
  <c r="AH27" i="9"/>
  <c r="H33" i="11"/>
  <c r="AH30" i="9"/>
  <c r="AI17" i="10"/>
  <c r="AJ17" i="10" s="1"/>
  <c r="AG22" i="10"/>
  <c r="AO22" i="10"/>
  <c r="AG11" i="10"/>
  <c r="AO11" i="10"/>
  <c r="AE44" i="10"/>
  <c r="AI19" i="10"/>
  <c r="AJ19" i="10" s="1"/>
  <c r="AI27" i="10"/>
  <c r="AJ27" i="10" s="1"/>
  <c r="AI24" i="10"/>
  <c r="AJ24" i="10" s="1"/>
  <c r="AO6" i="10"/>
  <c r="AG6" i="10"/>
  <c r="AI20" i="10"/>
  <c r="AJ20" i="10" s="1"/>
  <c r="AO23" i="10"/>
  <c r="AG23" i="10"/>
  <c r="AI21" i="10"/>
  <c r="AJ21" i="10" s="1"/>
  <c r="AO12" i="10"/>
  <c r="AG12" i="10"/>
  <c r="AG13" i="10"/>
  <c r="AO13" i="10"/>
  <c r="AO14" i="10"/>
  <c r="AG14" i="10"/>
  <c r="AG7" i="10"/>
  <c r="AO7" i="10"/>
  <c r="AI16" i="10"/>
  <c r="AJ16" i="10" s="1"/>
  <c r="AI8" i="10"/>
  <c r="AJ8" i="10" s="1"/>
  <c r="AO18" i="10"/>
  <c r="AG18" i="10"/>
  <c r="AI10" i="10"/>
  <c r="AJ10" i="10" s="1"/>
  <c r="AG15" i="10"/>
  <c r="AO15" i="10"/>
  <c r="AG9" i="10"/>
  <c r="AO9" i="10"/>
  <c r="H28" i="11"/>
  <c r="H24" i="11"/>
  <c r="H27" i="11"/>
  <c r="AF46" i="10" l="1"/>
  <c r="AF45" i="10"/>
  <c r="AE45" i="10"/>
  <c r="AE46" i="10"/>
  <c r="AE47" i="10" s="1"/>
  <c r="AI31" i="9" a="1"/>
  <c r="AI31" i="9" s="1"/>
  <c r="AJ31" i="9" s="1"/>
  <c r="AK31" i="9" s="1"/>
  <c r="AI32" i="9" a="1"/>
  <c r="AI32" i="9" s="1"/>
  <c r="AJ32" i="9" s="1"/>
  <c r="AK32" i="9" s="1"/>
  <c r="AI26" i="9" a="1"/>
  <c r="AI26" i="9" s="1"/>
  <c r="AJ26" i="9" s="1"/>
  <c r="AK26" i="9" s="1"/>
  <c r="AI30" i="9" a="1"/>
  <c r="AI30" i="9" s="1"/>
  <c r="AJ30" i="9" s="1"/>
  <c r="AK30" i="9" s="1"/>
  <c r="AI29" i="9" a="1"/>
  <c r="AI29" i="9" s="1"/>
  <c r="AJ29" i="9" s="1"/>
  <c r="AK29" i="9" s="1"/>
  <c r="AI27" i="9" a="1"/>
  <c r="AI27" i="9" s="1"/>
  <c r="AJ27" i="9" s="1"/>
  <c r="AG9" i="9"/>
  <c r="H18" i="11" s="1"/>
  <c r="AP15" i="9"/>
  <c r="AI28" i="9" a="1"/>
  <c r="AI28" i="9" s="1"/>
  <c r="AJ28" i="9" s="1"/>
  <c r="AK28" i="9" s="1"/>
  <c r="AE35" i="9"/>
  <c r="AE36" i="9" s="1"/>
  <c r="AP8" i="9"/>
  <c r="C6" i="11"/>
  <c r="AH8" i="9"/>
  <c r="AH15" i="9"/>
  <c r="AI14" i="10"/>
  <c r="AJ14" i="10" s="1"/>
  <c r="AI12" i="10"/>
  <c r="AJ12" i="10" s="1"/>
  <c r="AI13" i="10"/>
  <c r="AJ13" i="10" s="1"/>
  <c r="AI15" i="10"/>
  <c r="AJ15" i="10" s="1"/>
  <c r="AI18" i="10"/>
  <c r="AJ18" i="10" s="1"/>
  <c r="AI11" i="10"/>
  <c r="AJ11" i="10" s="1"/>
  <c r="AI23" i="10"/>
  <c r="AJ23" i="10" s="1"/>
  <c r="AG45" i="10"/>
  <c r="AQ4" i="10"/>
  <c r="AO4" i="10"/>
  <c r="AP4" i="10"/>
  <c r="AG46" i="10"/>
  <c r="AG44" i="10"/>
  <c r="AI6" i="10"/>
  <c r="AO3" i="10" a="1"/>
  <c r="AO3" i="10" s="1"/>
  <c r="AI7" i="10"/>
  <c r="AJ7" i="10" s="1"/>
  <c r="AI22" i="10"/>
  <c r="AJ22" i="10" s="1"/>
  <c r="AI9" i="10"/>
  <c r="AJ9" i="10" s="1"/>
  <c r="AF47" i="10"/>
  <c r="AP18" i="9"/>
  <c r="AH18" i="9"/>
  <c r="AP24" i="9"/>
  <c r="AH24" i="9"/>
  <c r="AH9" i="9"/>
  <c r="AP9" i="9"/>
  <c r="AH13" i="9"/>
  <c r="AP13" i="9"/>
  <c r="AP22" i="9"/>
  <c r="AH22" i="9"/>
  <c r="H20" i="11"/>
  <c r="C11" i="11"/>
  <c r="H26" i="11"/>
  <c r="H21" i="11"/>
  <c r="H19" i="11"/>
  <c r="H25" i="11"/>
  <c r="C10" i="11"/>
  <c r="C9" i="11"/>
  <c r="H23" i="11"/>
  <c r="H29" i="11"/>
  <c r="AE37" i="9" l="1"/>
  <c r="AK27" i="9"/>
  <c r="I32" i="11"/>
  <c r="AI18" i="9" a="1"/>
  <c r="AI18" i="9" s="1"/>
  <c r="AJ18" i="9" s="1"/>
  <c r="AK18" i="9" s="1"/>
  <c r="AI9" i="9" a="1"/>
  <c r="AI9" i="9" s="1"/>
  <c r="AJ9" i="9" s="1"/>
  <c r="AK9" i="9" s="1"/>
  <c r="AI15" i="9" a="1"/>
  <c r="AI15" i="9" s="1"/>
  <c r="AJ15" i="9" s="1"/>
  <c r="AK15" i="9" s="1"/>
  <c r="AI8" i="9" a="1"/>
  <c r="AI8" i="9" s="1"/>
  <c r="AJ8" i="9" s="1"/>
  <c r="AK8" i="9" s="1"/>
  <c r="AI22" i="9" a="1"/>
  <c r="AI22" i="9" s="1"/>
  <c r="AJ22" i="9" s="1"/>
  <c r="AK22" i="9" s="1"/>
  <c r="AI24" i="9" a="1"/>
  <c r="AI24" i="9" s="1"/>
  <c r="AJ24" i="9" s="1"/>
  <c r="AK24" i="9" s="1"/>
  <c r="AI13" i="9" a="1"/>
  <c r="AI13" i="9" s="1"/>
  <c r="AJ13" i="9" s="1"/>
  <c r="AK13" i="9" s="1"/>
  <c r="C5" i="11"/>
  <c r="AG34" i="9"/>
  <c r="AG33" i="9"/>
  <c r="AG35" i="9"/>
  <c r="AG36" i="9" s="1"/>
  <c r="H35" i="11"/>
  <c r="I31" i="11"/>
  <c r="I34" i="11"/>
  <c r="H36" i="11"/>
  <c r="I33" i="11"/>
  <c r="AP6" i="9"/>
  <c r="C4" i="11"/>
  <c r="AH6" i="9"/>
  <c r="AI45" i="10"/>
  <c r="AI46" i="10"/>
  <c r="AI44" i="10"/>
  <c r="AJ6" i="10"/>
  <c r="AH45" i="10"/>
  <c r="AH46" i="10"/>
  <c r="AH44" i="10"/>
  <c r="AG47" i="10"/>
  <c r="AP25" i="9"/>
  <c r="AH25" i="9"/>
  <c r="AP17" i="9"/>
  <c r="AH17" i="9"/>
  <c r="AP19" i="9"/>
  <c r="AH19" i="9"/>
  <c r="AP20" i="9"/>
  <c r="AH20" i="9"/>
  <c r="AH10" i="9"/>
  <c r="AP10" i="9"/>
  <c r="AH12" i="9"/>
  <c r="AP12" i="9"/>
  <c r="AH21" i="9"/>
  <c r="AP21" i="9"/>
  <c r="AP16" i="9"/>
  <c r="AH16" i="9"/>
  <c r="AP23" i="9"/>
  <c r="AH23" i="9"/>
  <c r="AH11" i="9"/>
  <c r="AP11" i="9"/>
  <c r="AH14" i="9"/>
  <c r="AP14" i="9"/>
  <c r="AP7" i="9"/>
  <c r="AH7" i="9"/>
  <c r="C14" i="11" l="1"/>
  <c r="H37" i="11"/>
  <c r="AI10" i="9" a="1"/>
  <c r="AI10" i="9" s="1"/>
  <c r="AJ10" i="9" s="1"/>
  <c r="AK10" i="9" s="1"/>
  <c r="AI20" i="9" a="1"/>
  <c r="AI20" i="9" s="1"/>
  <c r="AJ20" i="9" s="1"/>
  <c r="AK20" i="9" s="1"/>
  <c r="AR4" i="9"/>
  <c r="AI17" i="9" a="1"/>
  <c r="AI17" i="9" s="1"/>
  <c r="AJ17" i="9" s="1"/>
  <c r="AK17" i="9" s="1"/>
  <c r="AI25" i="9" a="1"/>
  <c r="AI25" i="9" s="1"/>
  <c r="AJ25" i="9" s="1"/>
  <c r="AK25" i="9" s="1"/>
  <c r="AI12" i="9" a="1"/>
  <c r="AI12" i="9" s="1"/>
  <c r="AJ12" i="9" s="1"/>
  <c r="AK12" i="9" s="1"/>
  <c r="AI19" i="9" a="1"/>
  <c r="AI19" i="9" s="1"/>
  <c r="AJ19" i="9" s="1"/>
  <c r="AK19" i="9" s="1"/>
  <c r="AI23" i="9" a="1"/>
  <c r="AI23" i="9" s="1"/>
  <c r="AJ23" i="9" s="1"/>
  <c r="AK23" i="9" s="1"/>
  <c r="AI11" i="9" a="1"/>
  <c r="AI11" i="9" s="1"/>
  <c r="AJ11" i="9" s="1"/>
  <c r="AK11" i="9" s="1"/>
  <c r="AG37" i="9"/>
  <c r="AI7" i="9" a="1"/>
  <c r="AI7" i="9" s="1"/>
  <c r="AJ7" i="9" s="1"/>
  <c r="AK7" i="9" s="1"/>
  <c r="AI14" i="9" a="1"/>
  <c r="AI14" i="9" s="1"/>
  <c r="AJ14" i="9" s="1"/>
  <c r="AK14" i="9" s="1"/>
  <c r="AI16" i="9" a="1"/>
  <c r="AI16" i="9" s="1"/>
  <c r="AJ16" i="9" s="1"/>
  <c r="AK16" i="9" s="1"/>
  <c r="AI21" i="9" a="1"/>
  <c r="AI21" i="9" s="1"/>
  <c r="AJ21" i="9" s="1"/>
  <c r="AK21" i="9" s="1"/>
  <c r="AH35" i="9"/>
  <c r="AH34" i="9"/>
  <c r="AH33" i="9"/>
  <c r="AH37" i="9" s="1"/>
  <c r="I22" i="11"/>
  <c r="I27" i="11"/>
  <c r="I24" i="11"/>
  <c r="I28" i="11"/>
  <c r="I18" i="11"/>
  <c r="AP4" i="9"/>
  <c r="AP3" i="9" a="1"/>
  <c r="AP3" i="9" s="1"/>
  <c r="AQ4" i="9"/>
  <c r="AI6" i="9" a="1"/>
  <c r="AI6" i="9" s="1"/>
  <c r="AJ6" i="9" s="1"/>
  <c r="AK6" i="9" s="1"/>
  <c r="AJ45" i="10"/>
  <c r="AJ46" i="10"/>
  <c r="AJ44" i="10"/>
  <c r="AH47" i="10"/>
  <c r="AI47" i="10"/>
  <c r="AH36" i="9" l="1"/>
  <c r="AJ35" i="9"/>
  <c r="AJ34" i="9"/>
  <c r="AJ33" i="9"/>
  <c r="AJ37" i="9" s="1"/>
  <c r="I29" i="11"/>
  <c r="I20" i="11"/>
  <c r="I25" i="11"/>
  <c r="I30" i="11"/>
  <c r="I19" i="11"/>
  <c r="I21" i="11"/>
  <c r="I26" i="11"/>
  <c r="I23" i="11"/>
  <c r="AJ47" i="10"/>
  <c r="AJ36" i="9" l="1"/>
  <c r="AK35" i="9"/>
  <c r="AK34" i="9"/>
  <c r="AK33" i="9"/>
  <c r="AK37" i="9" s="1"/>
  <c r="I36" i="11"/>
  <c r="I35" i="11"/>
  <c r="I37" i="11" l="1"/>
  <c r="AK3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<sst xmlns="http://schemas.openxmlformats.org/spreadsheetml/2006/main" count="434" uniqueCount="267">
  <si>
    <t>Área de Ensaio</t>
  </si>
  <si>
    <t>1ª avaliação</t>
  </si>
  <si>
    <t>2ª avaliação</t>
  </si>
  <si>
    <t>Média inicial</t>
  </si>
  <si>
    <t>Limite inferior (0,9*média)</t>
  </si>
  <si>
    <t>Limite superior (1,1*média)</t>
  </si>
  <si>
    <t>Média Final</t>
  </si>
  <si>
    <t>Limite superior da 1ª avaliação</t>
  </si>
  <si>
    <t>Limite inferior da 2ª avaliação</t>
  </si>
  <si>
    <t>Limite superior da 2ª avaliação</t>
  </si>
  <si>
    <t>ES-01 (túnel de descarga-PT05)</t>
  </si>
  <si>
    <t>ES-02 (túnel de descarga-PT03)</t>
  </si>
  <si>
    <t>ES-03 (túnel de descarga-PT06)</t>
  </si>
  <si>
    <t>ES-04 (estaca 71-N)</t>
  </si>
  <si>
    <t>ES-05 (estaca 71-O)</t>
  </si>
  <si>
    <t>ES-06 (estaca 71-S)</t>
  </si>
  <si>
    <t>ES-07 (estaca 71-L)</t>
  </si>
  <si>
    <t>ES-08 (estaca 60-N)</t>
  </si>
  <si>
    <t>ES-09 (estaca 60-O)</t>
  </si>
  <si>
    <t>ES-10 (estaca 60-S)</t>
  </si>
  <si>
    <t>ES-11 (estaca 60-L)</t>
  </si>
  <si>
    <t>ES-12 (estaca 44-N)</t>
  </si>
  <si>
    <t>ES-13 (estaca 44-O)</t>
  </si>
  <si>
    <t>ES-14 (estaca 44-S)</t>
  </si>
  <si>
    <t>ES-15 (estaca 44-L)</t>
  </si>
  <si>
    <t>ES-16 (estaca 24-N)</t>
  </si>
  <si>
    <t>ES-17 (estaca 24-S)</t>
  </si>
  <si>
    <t>ES-18 (estaca 24-L)</t>
  </si>
  <si>
    <t>ES-19 (capitel estaca 71-N)</t>
  </si>
  <si>
    <t>ES-20 (capitel estaca 71-S)</t>
  </si>
  <si>
    <t>ES-21 (capitel estaca 60-N)</t>
  </si>
  <si>
    <t>ES-22 (fundo da laje-PLE 02)</t>
  </si>
  <si>
    <t>Column1</t>
  </si>
  <si>
    <t>ES-01</t>
  </si>
  <si>
    <t>ES-02</t>
  </si>
  <si>
    <t>ES-03</t>
  </si>
  <si>
    <t>ES-04</t>
  </si>
  <si>
    <t>ES-05</t>
  </si>
  <si>
    <t>ES-06</t>
  </si>
  <si>
    <t>ES-07</t>
  </si>
  <si>
    <t>ES-08</t>
  </si>
  <si>
    <t>ES-09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</si>
  <si>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</si>
  <si>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</si>
  <si>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</si>
  <si>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</si>
  <si>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</si>
  <si>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</si>
  <si>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</si>
  <si>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</si>
  <si>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</si>
  <si>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</si>
  <si>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ES-20</t>
  </si>
  <si>
    <t>ES-21</t>
  </si>
  <si>
    <t>ES-22</t>
  </si>
  <si>
    <t>túnel de descarga-PT05</t>
  </si>
  <si>
    <t>túnel de descarga-PT03</t>
  </si>
  <si>
    <t>túnel de descarga-PT06</t>
  </si>
  <si>
    <t>estaca 71-N</t>
  </si>
  <si>
    <t>estaca 71-O</t>
  </si>
  <si>
    <t>estaca 71-S</t>
  </si>
  <si>
    <t>estaca 71-L</t>
  </si>
  <si>
    <t>estaca 60-N</t>
  </si>
  <si>
    <t>estaca 60-O</t>
  </si>
  <si>
    <t>estaca 60-S</t>
  </si>
  <si>
    <t>estaca 60-L</t>
  </si>
  <si>
    <t>estaca 44-N</t>
  </si>
  <si>
    <t>estaca 44-O</t>
  </si>
  <si>
    <t>estaca 44-S</t>
  </si>
  <si>
    <t>estaca 44-L</t>
  </si>
  <si>
    <t>estaca 24-N</t>
  </si>
  <si>
    <t>estaca 24-S</t>
  </si>
  <si>
    <t>estaca 24-L</t>
  </si>
  <si>
    <t>capitel estaca 71-N</t>
  </si>
  <si>
    <t>capitel estaca 71-S</t>
  </si>
  <si>
    <t>capitel estaca 60-N</t>
  </si>
  <si>
    <t>fundo da laje-PLE 02</t>
  </si>
  <si>
    <t>EC-01 (estaca 71-N)</t>
  </si>
  <si>
    <t>EC-02 (estaca 71-O)</t>
  </si>
  <si>
    <t>EC-03 (estaca 71-S)</t>
  </si>
  <si>
    <t>EC-04 (estaca 71-L)</t>
  </si>
  <si>
    <t>EC-05 (estaca 60-N)</t>
  </si>
  <si>
    <t>EC-06 (estaca 60-O)</t>
  </si>
  <si>
    <t>EC-07 (estaca 44-N)</t>
  </si>
  <si>
    <t>EC-08 (estaca 24-N)</t>
  </si>
  <si>
    <t>EC-09 (capitel estaca 60-N)</t>
  </si>
  <si>
    <t>EC-10 (capitel estaca 60-L)</t>
  </si>
  <si>
    <t>EC-11 (capitel estaca 71-N)</t>
  </si>
  <si>
    <t>EC-13 (Túnel de descarga-PT05)</t>
  </si>
  <si>
    <t>EC-14 (túnel de descarga-PT03)</t>
  </si>
  <si>
    <t>EC-15 (túnel de descarga-PT06)</t>
  </si>
  <si>
    <t>EC-12 (laje-PLE02)</t>
  </si>
  <si>
    <t>EC-01</t>
  </si>
  <si>
    <t>EC-02</t>
  </si>
  <si>
    <t>EC-03</t>
  </si>
  <si>
    <t>EC-04</t>
  </si>
  <si>
    <t>EC-05</t>
  </si>
  <si>
    <t>EC-06</t>
  </si>
  <si>
    <t>EC-07</t>
  </si>
  <si>
    <t>EC-08</t>
  </si>
  <si>
    <t>EC-09</t>
  </si>
  <si>
    <t>EC-10</t>
  </si>
  <si>
    <t>EC-11</t>
  </si>
  <si>
    <t>EC-12</t>
  </si>
  <si>
    <t>EC-13</t>
  </si>
  <si>
    <t>EC-14</t>
  </si>
  <si>
    <t>EC-15</t>
  </si>
  <si>
    <t>capitel estaca 60-L</t>
  </si>
  <si>
    <t>laje-PLE02</t>
  </si>
  <si>
    <t>Túnel de descarga-PT05</t>
  </si>
  <si>
    <t>Índices Esclerométricos</t>
  </si>
  <si>
    <t>Produndidade de carbonatação (mm)</t>
  </si>
  <si>
    <t>limite inferior faixa</t>
  </si>
  <si>
    <t>redução em R</t>
  </si>
  <si>
    <t>ES-27</t>
  </si>
  <si>
    <t>ES-28</t>
  </si>
  <si>
    <t>ES-29</t>
  </si>
  <si>
    <t>ES-30</t>
  </si>
  <si>
    <t>ES-31</t>
  </si>
  <si>
    <t>ES-32</t>
  </si>
  <si>
    <t>ES-33</t>
  </si>
  <si>
    <t>ES-34</t>
  </si>
  <si>
    <t>ES-35</t>
  </si>
  <si>
    <t>ES-36</t>
  </si>
  <si>
    <t>ES-37</t>
  </si>
  <si>
    <t>ES-38</t>
  </si>
  <si>
    <t>ES-25 (substituir dados)</t>
  </si>
  <si>
    <t>ES-26 (substituir dados)</t>
  </si>
  <si>
    <t>Limite inferior da 1ª avaliação</t>
  </si>
  <si>
    <t>ES-17.2 (estaca 24-S)</t>
  </si>
  <si>
    <t>ES-16.2 (estaca 24-N)</t>
  </si>
  <si>
    <t>ES-16b (estaca 24-N)</t>
  </si>
  <si>
    <t>ES-17b (estaca 24-S)</t>
  </si>
  <si>
    <t>Índice esclerométrico nominal</t>
  </si>
  <si>
    <t>Impacto</t>
  </si>
  <si>
    <t>somatório</t>
  </si>
  <si>
    <t>Índice esclerométrico de cada impacto</t>
  </si>
  <si>
    <t>número de impactos</t>
  </si>
  <si>
    <r>
      <t xml:space="preserve">coeficiente de correção </t>
    </r>
    <r>
      <rPr>
        <b/>
        <i/>
        <sz val="11"/>
        <rFont val="Aptos Narrow"/>
        <family val="2"/>
        <scheme val="minor"/>
      </rPr>
      <t>k</t>
    </r>
  </si>
  <si>
    <t>Correção em R devido à calibração (coef. k)</t>
  </si>
  <si>
    <t>fck (0 graus)</t>
  </si>
  <si>
    <t>R</t>
  </si>
  <si>
    <t>erro</t>
  </si>
  <si>
    <t>func cubica</t>
  </si>
  <si>
    <t>Índice escleromé-trico R</t>
  </si>
  <si>
    <t>direção do impacto</t>
  </si>
  <si>
    <t>D</t>
  </si>
  <si>
    <t>fck (-90 graus)</t>
  </si>
  <si>
    <t>fck (+90 graus)</t>
  </si>
  <si>
    <t>coeficientes do polinômio do 3grau y= A*(x^3)+B*(x^2)+C*x+D</t>
  </si>
  <si>
    <t xml:space="preserve">A </t>
  </si>
  <si>
    <t xml:space="preserve">B </t>
  </si>
  <si>
    <t>C</t>
  </si>
  <si>
    <t>limite superior faixa</t>
  </si>
  <si>
    <t>Direção/ Sentido do Golpe (graus)</t>
  </si>
  <si>
    <t>direcao</t>
  </si>
  <si>
    <t>Resist à compr. corrigida  fck(MPa)</t>
  </si>
  <si>
    <t>Redução em fck devido a carbona-tação</t>
  </si>
  <si>
    <t>y = -1.343249E-10x6 + 3.420646E-08x5 - 3.490515E-06x4 + 1.792832E-04x3 - 4.704508E-03x2 + 5.401466E-02x + 4.752819E-01</t>
  </si>
  <si>
    <t>a6</t>
  </si>
  <si>
    <t>a5</t>
  </si>
  <si>
    <t>a4</t>
  </si>
  <si>
    <t>a3</t>
  </si>
  <si>
    <t>a2</t>
  </si>
  <si>
    <t>a1</t>
  </si>
  <si>
    <t>a0</t>
  </si>
  <si>
    <t>coeficientes</t>
  </si>
  <si>
    <t>Valores médios</t>
  </si>
  <si>
    <t>mediana</t>
  </si>
  <si>
    <t>desvio padrão da amostra</t>
  </si>
  <si>
    <t>coeficiente de variação</t>
  </si>
  <si>
    <t xml:space="preserve">Resistência à compressão (descons. carbonatação) fck(MPa) </t>
  </si>
  <si>
    <r>
      <rPr>
        <sz val="11"/>
        <color theme="1"/>
        <rFont val="Symbol"/>
        <family val="1"/>
        <charset val="2"/>
      </rPr>
      <t xml:space="preserve"> a</t>
    </r>
    <r>
      <rPr>
        <sz val="9.35"/>
        <color theme="1"/>
        <rFont val="Aptos Narrow"/>
        <family val="2"/>
      </rPr>
      <t>E</t>
    </r>
  </si>
  <si>
    <t>Módulo de elasticdade (Gpa) NBR6118</t>
  </si>
  <si>
    <t>ES-23</t>
  </si>
  <si>
    <t>ES-24</t>
  </si>
  <si>
    <t>ES-25</t>
  </si>
  <si>
    <t>ES-26</t>
  </si>
  <si>
    <t>bloco de fundação-CP08</t>
  </si>
  <si>
    <t>fundo da laje-PLE 01</t>
  </si>
  <si>
    <t>fundo da laje-PLE 04</t>
  </si>
  <si>
    <t>fundo da laje-PLE 03</t>
  </si>
  <si>
    <t>bloco de fundação-CP09</t>
  </si>
  <si>
    <t>ES-23 (bloco de fundação-CP08)</t>
  </si>
  <si>
    <t>ES-24 (fundo da laje-PLE04)</t>
  </si>
  <si>
    <t>ES-25 (fundo da laje-PLE03)</t>
  </si>
  <si>
    <t>ES-26 (fundo da laje-PLE01)</t>
  </si>
  <si>
    <t>ES-27 (bloco de fundação-CP09)</t>
  </si>
  <si>
    <t>Pontos ensaiados com extração de testemunhos</t>
  </si>
  <si>
    <t>Índice esclerométrico do ponto mais próximo</t>
  </si>
  <si>
    <t>Velocidade de propagação de onda (km/s)</t>
  </si>
  <si>
    <t>Resistência à compressão do concreto</t>
  </si>
  <si>
    <r>
      <t>f</t>
    </r>
    <r>
      <rPr>
        <b/>
        <vertAlign val="subscript"/>
        <sz val="10"/>
        <color theme="1"/>
        <rFont val="Arial"/>
        <family val="2"/>
      </rPr>
      <t xml:space="preserve">ci,ext </t>
    </r>
    <r>
      <rPr>
        <b/>
        <sz val="10"/>
        <color theme="1"/>
        <rFont val="Arial"/>
        <family val="2"/>
      </rPr>
      <t>(MPa)</t>
    </r>
  </si>
  <si>
    <t>CP01 (Túnel de descarga)</t>
  </si>
  <si>
    <t>CP02 (Túnel de descarga)</t>
  </si>
  <si>
    <t>CP03 (Túnel de descarga)</t>
  </si>
  <si>
    <t>CP04 (E71)</t>
  </si>
  <si>
    <t>CP05 (E60)</t>
  </si>
  <si>
    <t>CP06-01 (E44)</t>
  </si>
  <si>
    <t>CP07 (E24)</t>
  </si>
  <si>
    <t>CP08 (Bloco de fundação)</t>
  </si>
  <si>
    <t>CP09 (Bloco de fundação)</t>
  </si>
  <si>
    <t>Média</t>
  </si>
  <si>
    <t>Área do Ensaio</t>
  </si>
  <si>
    <t>Índice R final</t>
  </si>
  <si>
    <t>Resistência à
compressão,
estimada com
esclerometria
(MPa)</t>
  </si>
  <si>
    <t>Resistência à
compressão,
estimada com
método SonReb
(MPa)</t>
  </si>
  <si>
    <t>Estaca 71-N</t>
  </si>
  <si>
    <t>Estaca 71-O</t>
  </si>
  <si>
    <t>Estaca 71-S</t>
  </si>
  <si>
    <t>Estaca 60-O</t>
  </si>
  <si>
    <t>Estaca 60-S</t>
  </si>
  <si>
    <t>Estaca 60-L</t>
  </si>
  <si>
    <t>Estaca 44-O</t>
  </si>
  <si>
    <t>Estaca 44-L</t>
  </si>
  <si>
    <t>Estaca 24-N</t>
  </si>
  <si>
    <t>Estaca 24-S</t>
  </si>
  <si>
    <t>Capitel estaca 71-N</t>
  </si>
  <si>
    <t>Capitel estaca 71-S</t>
  </si>
  <si>
    <t>Capitel estaca 60-N</t>
  </si>
  <si>
    <t>Fundo da laje-PLE04</t>
  </si>
  <si>
    <t>Fundo da laje-PLE03</t>
  </si>
  <si>
    <t>Fundo da laje-PLE01</t>
  </si>
  <si>
    <t>ES-22 (fundo da laje-PLE02)</t>
  </si>
  <si>
    <t>Fundo da laje-PLE02</t>
  </si>
  <si>
    <t>Valor médio</t>
  </si>
  <si>
    <t>Desvio padrão</t>
  </si>
  <si>
    <t>Coeficiente de variação</t>
  </si>
  <si>
    <t>CP06-02 (E44)</t>
  </si>
  <si>
    <t>Aferição 01</t>
  </si>
  <si>
    <t>Aferição 02</t>
  </si>
  <si>
    <t>Paulo Barroso</t>
  </si>
  <si>
    <t>E72</t>
  </si>
  <si>
    <t>Laje</t>
  </si>
  <si>
    <t>Tunel</t>
  </si>
  <si>
    <t>93,5x185</t>
  </si>
  <si>
    <t>93,5x186</t>
  </si>
  <si>
    <t>93,5x127</t>
  </si>
  <si>
    <t>93,5x102</t>
  </si>
  <si>
    <t xml:space="preserve">Cost </t>
  </si>
  <si>
    <t>90x200</t>
  </si>
  <si>
    <t>90x157</t>
  </si>
  <si>
    <t>Dimensões</t>
  </si>
  <si>
    <t>Fck</t>
  </si>
  <si>
    <t>n</t>
  </si>
  <si>
    <t>m</t>
  </si>
  <si>
    <t>número impar de dados, exclui o maior valor</t>
  </si>
  <si>
    <t>Dyntech e Paulo Barroso</t>
  </si>
  <si>
    <t>MPa</t>
  </si>
  <si>
    <t>Resistência à compressão do concreto fci,ext (MPa)</t>
  </si>
  <si>
    <t>Testemunhos</t>
  </si>
  <si>
    <t>T1-EP72</t>
  </si>
  <si>
    <t>T2-EP72</t>
  </si>
  <si>
    <t>T1-P. Tunel</t>
  </si>
  <si>
    <t>T3-L-P15/16</t>
  </si>
  <si>
    <t>T4-L-P15-16</t>
  </si>
  <si>
    <t>T2-L-P27/28</t>
  </si>
  <si>
    <t>P. Tunel-CP-02</t>
  </si>
  <si>
    <t>Conjunto A</t>
  </si>
  <si>
    <t>Conjunto B</t>
  </si>
  <si>
    <t>Conjunto C</t>
  </si>
  <si>
    <t xml:space="preserve">Resistência à compressão (descons. carbonatação) fc(MPa) </t>
  </si>
  <si>
    <t>Redução em fc devido a carbona-tação</t>
  </si>
  <si>
    <t>Resist à compr. corrigida  fc (MPa)</t>
  </si>
  <si>
    <t>Coeficiente de correção k (calibração)</t>
  </si>
  <si>
    <t>média</t>
  </si>
  <si>
    <t xml:space="preserve">quantil de 5% da amostra 
(considerando distribuição normal)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</si>
</sst>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000"/>
    <numFmt numFmtId="168" formatCode="0.00000000000"/>
    <numFmt numFmtId="169" formatCode="0.0000000E+00"/>
  </numFmts>
  <fonts count="21" x14ac:knownFonts="1">
    <font>
      <sz val="11"/>
      <color theme="1"/>
      <name val="Aptos Narrow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9"/>
      <color rgb="FF00B050"/>
      <name val="Arial"/>
      <family val="2"/>
    </font>
    <font>
      <sz val="10"/>
      <color rgb="FF00B050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ymbol"/>
      <family val="1"/>
      <charset val="2"/>
    </font>
    <font>
      <sz val="9.35"/>
      <color theme="1"/>
      <name val="Aptos Narrow"/>
      <family val="2"/>
    </font>
    <font>
      <sz val="11"/>
      <color theme="1"/>
      <name val="Aptos Narrow"/>
      <family val="1"/>
      <charset val="2"/>
    </font>
    <font>
      <b/>
      <vertAlign val="subscript"/>
      <sz val="10"/>
      <color theme="1"/>
      <name val="Arial"/>
      <family val="2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D000A8"/>
      </patternFill>
    </fill>
    <fill>
      <patternFill patternType="solid">
        <fgColor rgb="FF00FFFF"/>
        <bgColor rgb="FFD000A8"/>
      </patternFill>
    </fill>
    <fill>
      <patternFill patternType="solid">
        <fgColor rgb="FFFF0000"/>
        <bgColor indexed="64"/>
      </patternFill>
    </fill>
    <fill>
      <patternFill patternType="solid">
        <fgColor rgb="FFFF00FF"/>
        <bgColor rgb="FFFF0000"/>
      </patternFill>
    </fill>
    <fill>
      <patternFill patternType="solid">
        <fgColor rgb="FFFF0000"/>
        <bgColor rgb="FFBF9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1">
    <xf numFmtId="0" fontId="0" fillId="0" borderId="0" xfId="0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2" fontId="6" fillId="2" borderId="1" xfId="0" applyNumberFormat="1" applyFont="1" applyFill="1" applyBorder="1" applyAlignment="1">
      <alignment horizontal="right" vertical="center"/>
    </xf>
    <xf numFmtId="2" fontId="6" fillId="2" borderId="10" xfId="0" applyNumberFormat="1" applyFont="1" applyFill="1" applyBorder="1" applyAlignment="1">
      <alignment horizontal="right" vertical="center"/>
    </xf>
    <xf numFmtId="2" fontId="4" fillId="0" borderId="6" xfId="0" applyNumberFormat="1" applyFont="1" applyBorder="1" applyAlignment="1">
      <alignment horizontal="right" vertical="center"/>
    </xf>
    <xf numFmtId="2" fontId="4" fillId="0" borderId="7" xfId="0" applyNumberFormat="1" applyFont="1" applyBorder="1" applyAlignment="1">
      <alignment horizontal="righ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2" fontId="6" fillId="2" borderId="18" xfId="0" applyNumberFormat="1" applyFont="1" applyFill="1" applyBorder="1" applyAlignment="1">
      <alignment horizontal="right" vertical="center"/>
    </xf>
    <xf numFmtId="2" fontId="4" fillId="0" borderId="8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center"/>
    </xf>
    <xf numFmtId="0" fontId="0" fillId="0" borderId="23" xfId="0" applyBorder="1"/>
    <xf numFmtId="0" fontId="2" fillId="0" borderId="24" xfId="0" applyFont="1" applyBorder="1" applyAlignment="1">
      <alignment vertical="center"/>
    </xf>
    <xf numFmtId="0" fontId="0" fillId="0" borderId="25" xfId="0" applyBorder="1"/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3" xfId="0" applyBorder="1" applyAlignment="1">
      <alignment horizontal="center"/>
    </xf>
    <xf numFmtId="11" fontId="0" fillId="0" borderId="0" xfId="0" applyNumberFormat="1"/>
    <xf numFmtId="2" fontId="0" fillId="0" borderId="23" xfId="0" applyNumberFormat="1" applyBorder="1" applyAlignment="1">
      <alignment horizontal="center"/>
    </xf>
    <xf numFmtId="0" fontId="0" fillId="0" borderId="29" xfId="0" applyBorder="1"/>
    <xf numFmtId="2" fontId="0" fillId="0" borderId="29" xfId="0" applyNumberFormat="1" applyBorder="1" applyAlignment="1">
      <alignment horizontal="center"/>
    </xf>
    <xf numFmtId="0" fontId="7" fillId="0" borderId="23" xfId="0" applyFont="1" applyBorder="1"/>
    <xf numFmtId="2" fontId="7" fillId="0" borderId="23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" fontId="6" fillId="5" borderId="19" xfId="0" applyNumberFormat="1" applyFont="1" applyFill="1" applyBorder="1" applyAlignment="1">
      <alignment horizontal="right" vertical="center"/>
    </xf>
    <xf numFmtId="2" fontId="6" fillId="5" borderId="9" xfId="0" applyNumberFormat="1" applyFont="1" applyFill="1" applyBorder="1" applyAlignment="1">
      <alignment horizontal="right" vertical="center"/>
    </xf>
    <xf numFmtId="2" fontId="6" fillId="5" borderId="11" xfId="0" applyNumberFormat="1" applyFont="1" applyFill="1" applyBorder="1" applyAlignment="1">
      <alignment horizontal="right" vertical="center"/>
    </xf>
    <xf numFmtId="2" fontId="5" fillId="6" borderId="18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2" fontId="5" fillId="6" borderId="10" xfId="0" applyNumberFormat="1" applyFont="1" applyFill="1" applyBorder="1" applyAlignment="1">
      <alignment horizontal="right" vertical="center"/>
    </xf>
    <xf numFmtId="2" fontId="6" fillId="7" borderId="19" xfId="0" applyNumberFormat="1" applyFont="1" applyFill="1" applyBorder="1" applyAlignment="1">
      <alignment horizontal="right" vertical="center"/>
    </xf>
    <xf numFmtId="2" fontId="6" fillId="7" borderId="9" xfId="0" applyNumberFormat="1" applyFont="1" applyFill="1" applyBorder="1" applyAlignment="1">
      <alignment horizontal="right" vertical="center"/>
    </xf>
    <xf numFmtId="2" fontId="6" fillId="7" borderId="11" xfId="0" applyNumberFormat="1" applyFont="1" applyFill="1" applyBorder="1" applyAlignment="1">
      <alignment horizontal="right" vertical="center"/>
    </xf>
    <xf numFmtId="0" fontId="2" fillId="8" borderId="16" xfId="0" applyFont="1" applyFill="1" applyBorder="1"/>
    <xf numFmtId="0" fontId="2" fillId="5" borderId="16" xfId="0" applyFont="1" applyFill="1" applyBorder="1"/>
    <xf numFmtId="0" fontId="1" fillId="7" borderId="17" xfId="0" applyFont="1" applyFill="1" applyBorder="1"/>
    <xf numFmtId="0" fontId="6" fillId="0" borderId="14" xfId="0" applyFont="1" applyBorder="1" applyAlignment="1">
      <alignment horizontal="left" vertical="center"/>
    </xf>
    <xf numFmtId="0" fontId="2" fillId="4" borderId="14" xfId="0" applyFont="1" applyFill="1" applyBorder="1"/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0" fillId="0" borderId="32" xfId="0" applyBorder="1"/>
    <xf numFmtId="0" fontId="0" fillId="0" borderId="33" xfId="0" applyBorder="1"/>
    <xf numFmtId="165" fontId="6" fillId="0" borderId="34" xfId="0" applyNumberFormat="1" applyFont="1" applyBorder="1" applyAlignment="1">
      <alignment horizontal="right" vertical="center"/>
    </xf>
    <xf numFmtId="165" fontId="6" fillId="0" borderId="35" xfId="0" applyNumberFormat="1" applyFont="1" applyBorder="1" applyAlignment="1">
      <alignment horizontal="right" vertical="center"/>
    </xf>
    <xf numFmtId="165" fontId="6" fillId="0" borderId="36" xfId="0" applyNumberFormat="1" applyFont="1" applyBorder="1" applyAlignment="1">
      <alignment horizontal="right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165" fontId="6" fillId="0" borderId="41" xfId="0" applyNumberFormat="1" applyFont="1" applyBorder="1" applyAlignment="1">
      <alignment horizontal="right" vertical="center"/>
    </xf>
    <xf numFmtId="2" fontId="6" fillId="2" borderId="21" xfId="0" applyNumberFormat="1" applyFont="1" applyFill="1" applyBorder="1" applyAlignment="1">
      <alignment horizontal="right" vertical="center"/>
    </xf>
    <xf numFmtId="2" fontId="6" fillId="5" borderId="22" xfId="0" applyNumberFormat="1" applyFont="1" applyFill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2" fontId="5" fillId="6" borderId="21" xfId="0" applyNumberFormat="1" applyFont="1" applyFill="1" applyBorder="1" applyAlignment="1">
      <alignment horizontal="right" vertical="center"/>
    </xf>
    <xf numFmtId="2" fontId="6" fillId="7" borderId="22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6" fillId="0" borderId="4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2" fontId="12" fillId="0" borderId="23" xfId="0" applyNumberFormat="1" applyFont="1" applyBorder="1" applyAlignment="1">
      <alignment horizontal="center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 vertical="center" wrapText="1"/>
    </xf>
    <xf numFmtId="2" fontId="7" fillId="0" borderId="29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47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166" fontId="11" fillId="10" borderId="28" xfId="0" applyNumberFormat="1" applyFont="1" applyFill="1" applyBorder="1" applyAlignment="1">
      <alignment horizontal="center" vertical="center" wrapText="1"/>
    </xf>
    <xf numFmtId="9" fontId="0" fillId="10" borderId="23" xfId="0" applyNumberFormat="1" applyFill="1" applyBorder="1"/>
    <xf numFmtId="0" fontId="11" fillId="10" borderId="23" xfId="0" applyFont="1" applyFill="1" applyBorder="1"/>
    <xf numFmtId="0" fontId="11" fillId="10" borderId="23" xfId="0" applyFont="1" applyFill="1" applyBorder="1" applyAlignment="1">
      <alignment wrapText="1"/>
    </xf>
    <xf numFmtId="0" fontId="11" fillId="0" borderId="24" xfId="0" applyFont="1" applyBorder="1" applyAlignment="1">
      <alignment horizontal="center"/>
    </xf>
    <xf numFmtId="0" fontId="11" fillId="0" borderId="31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3" fillId="0" borderId="26" xfId="0" applyFont="1" applyBorder="1" applyAlignment="1">
      <alignment horizontal="left" vertical="center"/>
    </xf>
    <xf numFmtId="167" fontId="0" fillId="0" borderId="0" xfId="0" applyNumberFormat="1"/>
    <xf numFmtId="2" fontId="0" fillId="0" borderId="29" xfId="0" applyNumberFormat="1" applyBorder="1" applyAlignment="1">
      <alignment horizontal="center" vertical="center"/>
    </xf>
    <xf numFmtId="0" fontId="0" fillId="0" borderId="31" xfId="0" applyBorder="1"/>
    <xf numFmtId="0" fontId="0" fillId="0" borderId="24" xfId="0" applyBorder="1"/>
    <xf numFmtId="0" fontId="0" fillId="0" borderId="26" xfId="0" applyBorder="1"/>
    <xf numFmtId="0" fontId="11" fillId="0" borderId="24" xfId="0" applyFont="1" applyBorder="1" applyAlignment="1">
      <alignment wrapText="1"/>
    </xf>
    <xf numFmtId="0" fontId="0" fillId="0" borderId="47" xfId="0" applyBorder="1"/>
    <xf numFmtId="0" fontId="0" fillId="0" borderId="46" xfId="0" applyBorder="1"/>
    <xf numFmtId="0" fontId="11" fillId="0" borderId="23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1" fillId="0" borderId="49" xfId="0" applyFont="1" applyBorder="1" applyAlignment="1">
      <alignment horizontal="center" wrapText="1"/>
    </xf>
    <xf numFmtId="0" fontId="11" fillId="0" borderId="50" xfId="0" applyFont="1" applyBorder="1" applyAlignment="1">
      <alignment horizontal="center" wrapText="1"/>
    </xf>
    <xf numFmtId="168" fontId="0" fillId="0" borderId="0" xfId="0" applyNumberFormat="1"/>
    <xf numFmtId="169" fontId="0" fillId="0" borderId="0" xfId="0" applyNumberFormat="1"/>
    <xf numFmtId="169" fontId="0" fillId="10" borderId="23" xfId="0" applyNumberFormat="1" applyFill="1" applyBorder="1"/>
    <xf numFmtId="0" fontId="0" fillId="10" borderId="23" xfId="0" applyFill="1" applyBorder="1"/>
    <xf numFmtId="165" fontId="0" fillId="0" borderId="29" xfId="0" applyNumberFormat="1" applyBorder="1" applyAlignment="1">
      <alignment horizontal="center" vertical="center"/>
    </xf>
    <xf numFmtId="2" fontId="7" fillId="0" borderId="30" xfId="0" applyNumberFormat="1" applyFont="1" applyBorder="1" applyAlignment="1">
      <alignment horizontal="center"/>
    </xf>
    <xf numFmtId="2" fontId="7" fillId="0" borderId="51" xfId="0" applyNumberFormat="1" applyFont="1" applyBorder="1" applyAlignment="1">
      <alignment horizontal="center"/>
    </xf>
    <xf numFmtId="2" fontId="0" fillId="0" borderId="51" xfId="0" applyNumberFormat="1" applyBorder="1" applyAlignment="1">
      <alignment horizontal="center" vertical="center"/>
    </xf>
    <xf numFmtId="2" fontId="11" fillId="12" borderId="23" xfId="0" applyNumberFormat="1" applyFont="1" applyFill="1" applyBorder="1" applyAlignment="1">
      <alignment horizontal="center"/>
    </xf>
    <xf numFmtId="0" fontId="0" fillId="0" borderId="42" xfId="0" applyBorder="1"/>
    <xf numFmtId="2" fontId="0" fillId="0" borderId="43" xfId="0" applyNumberFormat="1" applyBorder="1" applyAlignment="1">
      <alignment horizontal="center" vertical="center"/>
    </xf>
    <xf numFmtId="0" fontId="12" fillId="0" borderId="24" xfId="0" applyFont="1" applyBorder="1"/>
    <xf numFmtId="0" fontId="7" fillId="0" borderId="24" xfId="0" applyFont="1" applyBorder="1"/>
    <xf numFmtId="2" fontId="7" fillId="0" borderId="54" xfId="0" applyNumberFormat="1" applyFont="1" applyBorder="1" applyAlignment="1">
      <alignment horizontal="center"/>
    </xf>
    <xf numFmtId="0" fontId="7" fillId="0" borderId="40" xfId="0" applyFont="1" applyBorder="1"/>
    <xf numFmtId="0" fontId="7" fillId="0" borderId="30" xfId="0" applyFont="1" applyBorder="1"/>
    <xf numFmtId="165" fontId="11" fillId="12" borderId="23" xfId="0" applyNumberFormat="1" applyFont="1" applyFill="1" applyBorder="1" applyAlignment="1">
      <alignment horizontal="center"/>
    </xf>
    <xf numFmtId="2" fontId="11" fillId="12" borderId="32" xfId="0" applyNumberFormat="1" applyFont="1" applyFill="1" applyBorder="1" applyAlignment="1">
      <alignment horizontal="center"/>
    </xf>
    <xf numFmtId="165" fontId="11" fillId="12" borderId="32" xfId="0" applyNumberFormat="1" applyFont="1" applyFill="1" applyBorder="1" applyAlignment="1">
      <alignment horizontal="center"/>
    </xf>
    <xf numFmtId="2" fontId="11" fillId="12" borderId="33" xfId="0" applyNumberFormat="1" applyFont="1" applyFill="1" applyBorder="1" applyAlignment="1">
      <alignment horizontal="center"/>
    </xf>
    <xf numFmtId="2" fontId="11" fillId="12" borderId="25" xfId="0" applyNumberFormat="1" applyFont="1" applyFill="1" applyBorder="1" applyAlignment="1">
      <alignment horizontal="center"/>
    </xf>
    <xf numFmtId="166" fontId="11" fillId="12" borderId="27" xfId="0" applyNumberFormat="1" applyFont="1" applyFill="1" applyBorder="1" applyAlignment="1">
      <alignment horizontal="center"/>
    </xf>
    <xf numFmtId="166" fontId="11" fillId="12" borderId="28" xfId="0" applyNumberFormat="1" applyFont="1" applyFill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7" fillId="0" borderId="42" xfId="0" applyFont="1" applyBorder="1"/>
    <xf numFmtId="0" fontId="7" fillId="0" borderId="29" xfId="0" applyFont="1" applyBorder="1"/>
    <xf numFmtId="0" fontId="0" fillId="0" borderId="48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0" fillId="0" borderId="48" xfId="0" applyNumberFormat="1" applyBorder="1" applyAlignment="1">
      <alignment horizontal="center" vertical="center"/>
    </xf>
    <xf numFmtId="0" fontId="18" fillId="12" borderId="47" xfId="0" applyFont="1" applyFill="1" applyBorder="1" applyAlignment="1">
      <alignment horizontal="right" vertical="center"/>
    </xf>
    <xf numFmtId="0" fontId="0" fillId="9" borderId="46" xfId="0" applyFill="1" applyBorder="1" applyAlignment="1">
      <alignment horizontal="left" vertical="center"/>
    </xf>
    <xf numFmtId="2" fontId="0" fillId="0" borderId="60" xfId="0" applyNumberFormat="1" applyBorder="1" applyAlignment="1">
      <alignment horizontal="center" vertical="center"/>
    </xf>
    <xf numFmtId="2" fontId="0" fillId="0" borderId="61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2" fontId="7" fillId="0" borderId="62" xfId="0" applyNumberFormat="1" applyFont="1" applyBorder="1" applyAlignment="1">
      <alignment horizontal="center"/>
    </xf>
    <xf numFmtId="2" fontId="7" fillId="0" borderId="57" xfId="0" applyNumberFormat="1" applyFont="1" applyBorder="1" applyAlignment="1">
      <alignment horizontal="center"/>
    </xf>
    <xf numFmtId="2" fontId="11" fillId="12" borderId="63" xfId="0" applyNumberFormat="1" applyFont="1" applyFill="1" applyBorder="1" applyAlignment="1">
      <alignment horizontal="center"/>
    </xf>
    <xf numFmtId="2" fontId="11" fillId="12" borderId="49" xfId="0" applyNumberFormat="1" applyFont="1" applyFill="1" applyBorder="1" applyAlignment="1">
      <alignment horizontal="center"/>
    </xf>
    <xf numFmtId="166" fontId="11" fillId="12" borderId="50" xfId="0" applyNumberFormat="1" applyFont="1" applyFill="1" applyBorder="1" applyAlignment="1">
      <alignment horizontal="center"/>
    </xf>
    <xf numFmtId="2" fontId="0" fillId="0" borderId="64" xfId="0" applyNumberFormat="1" applyBorder="1" applyAlignment="1">
      <alignment horizontal="center" vertical="center"/>
    </xf>
    <xf numFmtId="0" fontId="3" fillId="0" borderId="65" xfId="0" applyFont="1" applyBorder="1" applyAlignment="1">
      <alignment horizontal="center"/>
    </xf>
    <xf numFmtId="0" fontId="6" fillId="0" borderId="66" xfId="0" applyFont="1" applyBorder="1" applyAlignment="1">
      <alignment horizontal="left" vertical="center"/>
    </xf>
    <xf numFmtId="165" fontId="6" fillId="0" borderId="67" xfId="0" applyNumberFormat="1" applyFont="1" applyBorder="1" applyAlignment="1">
      <alignment horizontal="right" vertical="center"/>
    </xf>
    <xf numFmtId="2" fontId="6" fillId="2" borderId="68" xfId="0" applyNumberFormat="1" applyFont="1" applyFill="1" applyBorder="1" applyAlignment="1">
      <alignment horizontal="right" vertical="center"/>
    </xf>
    <xf numFmtId="2" fontId="6" fillId="5" borderId="69" xfId="0" applyNumberFormat="1" applyFont="1" applyFill="1" applyBorder="1" applyAlignment="1">
      <alignment horizontal="right" vertical="center"/>
    </xf>
    <xf numFmtId="2" fontId="4" fillId="0" borderId="70" xfId="0" applyNumberFormat="1" applyFont="1" applyBorder="1" applyAlignment="1">
      <alignment horizontal="right" vertical="center"/>
    </xf>
    <xf numFmtId="2" fontId="5" fillId="6" borderId="68" xfId="0" applyNumberFormat="1" applyFont="1" applyFill="1" applyBorder="1" applyAlignment="1">
      <alignment horizontal="right" vertical="center"/>
    </xf>
    <xf numFmtId="2" fontId="6" fillId="7" borderId="69" xfId="0" applyNumberFormat="1" applyFont="1" applyFill="1" applyBorder="1" applyAlignment="1">
      <alignment horizontal="right" vertical="center"/>
    </xf>
    <xf numFmtId="2" fontId="0" fillId="0" borderId="23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4" fillId="0" borderId="73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2" fontId="6" fillId="0" borderId="74" xfId="0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/>
    </xf>
    <xf numFmtId="2" fontId="0" fillId="0" borderId="23" xfId="0" applyNumberFormat="1" applyBorder="1"/>
    <xf numFmtId="2" fontId="0" fillId="0" borderId="57" xfId="0" applyNumberFormat="1" applyBorder="1"/>
    <xf numFmtId="0" fontId="0" fillId="0" borderId="57" xfId="0" applyBorder="1"/>
    <xf numFmtId="0" fontId="20" fillId="0" borderId="23" xfId="0" applyFont="1" applyBorder="1" applyAlignment="1">
      <alignment horizontal="center" vertical="center"/>
    </xf>
    <xf numFmtId="165" fontId="6" fillId="0" borderId="74" xfId="0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4" xfId="0" applyBorder="1"/>
    <xf numFmtId="0" fontId="12" fillId="0" borderId="7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4" xfId="0" applyBorder="1"/>
    <xf numFmtId="0" fontId="0" fillId="0" borderId="42" xfId="0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75" xfId="0" applyBorder="1"/>
    <xf numFmtId="0" fontId="0" fillId="0" borderId="20" xfId="0" applyBorder="1"/>
    <xf numFmtId="0" fontId="0" fillId="0" borderId="76" xfId="0" applyBorder="1"/>
    <xf numFmtId="0" fontId="0" fillId="14" borderId="31" xfId="0" applyFill="1" applyBorder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9" xfId="0" applyFont="1" applyBorder="1" applyAlignment="1">
      <alignment horizontal="center" vertical="center" wrapText="1"/>
    </xf>
    <xf numFmtId="166" fontId="0" fillId="0" borderId="23" xfId="0" applyNumberFormat="1" applyBorder="1" applyAlignment="1">
      <alignment horizontal="center"/>
    </xf>
    <xf numFmtId="0" fontId="0" fillId="0" borderId="40" xfId="0" applyBorder="1"/>
    <xf numFmtId="2" fontId="0" fillId="0" borderId="30" xfId="0" applyNumberFormat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2" fontId="0" fillId="0" borderId="30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2" fontId="0" fillId="0" borderId="78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11" fillId="12" borderId="32" xfId="0" applyNumberFormat="1" applyFont="1" applyFill="1" applyBorder="1" applyAlignment="1">
      <alignment horizontal="center" vertical="center"/>
    </xf>
    <xf numFmtId="2" fontId="11" fillId="12" borderId="33" xfId="0" applyNumberFormat="1" applyFont="1" applyFill="1" applyBorder="1" applyAlignment="1">
      <alignment horizontal="center" vertical="center"/>
    </xf>
    <xf numFmtId="2" fontId="11" fillId="12" borderId="23" xfId="0" applyNumberFormat="1" applyFont="1" applyFill="1" applyBorder="1" applyAlignment="1">
      <alignment horizontal="center" vertical="center"/>
    </xf>
    <xf numFmtId="2" fontId="11" fillId="12" borderId="25" xfId="0" applyNumberFormat="1" applyFont="1" applyFill="1" applyBorder="1" applyAlignment="1">
      <alignment horizontal="center" vertical="center"/>
    </xf>
    <xf numFmtId="166" fontId="11" fillId="12" borderId="23" xfId="0" applyNumberFormat="1" applyFont="1" applyFill="1" applyBorder="1" applyAlignment="1">
      <alignment horizontal="center" vertical="center"/>
    </xf>
    <xf numFmtId="166" fontId="11" fillId="12" borderId="25" xfId="0" applyNumberFormat="1" applyFont="1" applyFill="1" applyBorder="1" applyAlignment="1">
      <alignment horizontal="center" vertical="center"/>
    </xf>
    <xf numFmtId="166" fontId="11" fillId="12" borderId="27" xfId="0" applyNumberFormat="1" applyFont="1" applyFill="1" applyBorder="1" applyAlignment="1">
      <alignment horizontal="center" vertical="center"/>
    </xf>
    <xf numFmtId="166" fontId="11" fillId="12" borderId="28" xfId="0" applyNumberFormat="1" applyFont="1" applyFill="1" applyBorder="1" applyAlignment="1">
      <alignment horizontal="center" vertical="center"/>
    </xf>
    <xf numFmtId="2" fontId="11" fillId="12" borderId="58" xfId="0" applyNumberFormat="1" applyFont="1" applyFill="1" applyBorder="1" applyAlignment="1">
      <alignment horizontal="center" vertical="center"/>
    </xf>
    <xf numFmtId="2" fontId="11" fillId="12" borderId="61" xfId="0" applyNumberFormat="1" applyFont="1" applyFill="1" applyBorder="1" applyAlignment="1">
      <alignment horizontal="center" vertical="center"/>
    </xf>
    <xf numFmtId="166" fontId="11" fillId="12" borderId="61" xfId="0" applyNumberFormat="1" applyFont="1" applyFill="1" applyBorder="1" applyAlignment="1">
      <alignment horizontal="center" vertical="center"/>
    </xf>
    <xf numFmtId="166" fontId="11" fillId="12" borderId="59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20" xfId="0" applyFont="1" applyBorder="1"/>
    <xf numFmtId="0" fontId="4" fillId="0" borderId="14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11" borderId="33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4" fillId="11" borderId="45" xfId="0" applyFont="1" applyFill="1" applyBorder="1" applyAlignment="1">
      <alignment horizontal="center" vertical="center" wrapText="1"/>
    </xf>
    <xf numFmtId="0" fontId="4" fillId="11" borderId="31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77" xfId="0" applyFont="1" applyFill="1" applyBorder="1" applyAlignment="1">
      <alignment horizontal="center" vertical="center" wrapText="1"/>
    </xf>
    <xf numFmtId="0" fontId="4" fillId="11" borderId="29" xfId="0" applyFont="1" applyFill="1" applyBorder="1" applyAlignment="1">
      <alignment horizontal="center" vertical="center" wrapText="1"/>
    </xf>
    <xf numFmtId="0" fontId="11" fillId="12" borderId="26" xfId="0" applyFont="1" applyFill="1" applyBorder="1" applyAlignment="1">
      <alignment horizontal="right" wrapText="1"/>
    </xf>
    <xf numFmtId="0" fontId="11" fillId="12" borderId="27" xfId="0" applyFont="1" applyFill="1" applyBorder="1" applyAlignment="1">
      <alignment horizontal="right" wrapText="1"/>
    </xf>
    <xf numFmtId="0" fontId="4" fillId="11" borderId="57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left" wrapText="1"/>
    </xf>
    <xf numFmtId="0" fontId="0" fillId="9" borderId="25" xfId="0" applyFill="1" applyBorder="1" applyAlignment="1">
      <alignment horizontal="center" vertical="center" wrapText="1"/>
    </xf>
    <xf numFmtId="0" fontId="11" fillId="12" borderId="31" xfId="0" applyFont="1" applyFill="1" applyBorder="1" applyAlignment="1">
      <alignment horizontal="right"/>
    </xf>
    <xf numFmtId="0" fontId="11" fillId="12" borderId="32" xfId="0" applyFont="1" applyFill="1" applyBorder="1" applyAlignment="1">
      <alignment horizontal="right"/>
    </xf>
    <xf numFmtId="0" fontId="11" fillId="12" borderId="24" xfId="0" applyFont="1" applyFill="1" applyBorder="1" applyAlignment="1">
      <alignment horizontal="right"/>
    </xf>
    <xf numFmtId="0" fontId="11" fillId="12" borderId="23" xfId="0" applyFont="1" applyFill="1" applyBorder="1" applyAlignment="1">
      <alignment horizontal="right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12" borderId="26" xfId="0" applyFont="1" applyFill="1" applyBorder="1" applyAlignment="1">
      <alignment horizontal="right"/>
    </xf>
    <xf numFmtId="0" fontId="11" fillId="12" borderId="27" xfId="0" applyFont="1" applyFill="1" applyBorder="1" applyAlignment="1">
      <alignment horizontal="right"/>
    </xf>
    <xf numFmtId="0" fontId="4" fillId="11" borderId="58" xfId="0" applyFont="1" applyFill="1" applyBorder="1" applyAlignment="1">
      <alignment horizontal="center" vertical="center" wrapText="1"/>
    </xf>
    <xf numFmtId="0" fontId="4" fillId="11" borderId="59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52" xfId="0" applyFont="1" applyFill="1" applyBorder="1" applyAlignment="1">
      <alignment horizontal="center" vertical="center" wrapText="1"/>
    </xf>
    <xf numFmtId="0" fontId="4" fillId="11" borderId="53" xfId="0" applyFont="1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/>
    </xf>
    <xf numFmtId="0" fontId="0" fillId="14" borderId="23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11" fillId="1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>
          <fgColor rgb="FFFF00FF"/>
          <bgColor rgb="FF00FFFF"/>
        </patternFill>
      </fill>
    </dxf>
    <dxf>
      <fill>
        <patternFill patternType="solid">
          <fgColor auto="1"/>
          <bgColor rgb="FFFF00FF"/>
        </patternFill>
      </fill>
    </dxf>
    <dxf>
      <fill>
        <patternFill patternType="solid">
          <fgColor auto="1"/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FF"/>
        </patternFill>
      </fill>
    </dxf>
    <dxf>
      <fill>
        <patternFill patternType="solid">
          <fgColor auto="1"/>
          <bgColor rgb="FFFF0000"/>
        </patternFill>
      </fill>
    </dxf>
    <dxf>
      <fill>
        <patternFill>
          <fgColor rgb="FFFF00FF"/>
          <bgColor rgb="FF00FFFF"/>
        </patternFill>
      </fill>
    </dxf>
    <dxf>
      <fill>
        <patternFill>
          <bgColor rgb="FFFFFF00"/>
        </patternFill>
      </fill>
    </dxf>
    <dxf>
      <fill>
        <patternFill>
          <fgColor rgb="FFFF00FF"/>
          <bgColor rgb="FF00FFFF"/>
        </patternFill>
      </fill>
    </dxf>
    <dxf>
      <fill>
        <patternFill patternType="solid">
          <fgColor auto="1"/>
          <bgColor rgb="FFFF00FF"/>
        </patternFill>
      </fill>
    </dxf>
    <dxf>
      <fill>
        <patternFill patternType="solid">
          <fgColor auto="1"/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thin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  <color rgb="FFD27A10"/>
      <color rgb="FFE6AF00"/>
      <color rgb="FFFFC000"/>
      <color rgb="FF00FFFF"/>
      <color rgb="FFFF00FF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a-Latn-001" sz="1100" baseline="0">
                <a:solidFill>
                  <a:sysClr val="windowText" lastClr="000000"/>
                </a:solidFill>
              </a:rPr>
              <a:t>Curvas Indíce esclerométrico (R) vs resistência à compressão (fck)</a:t>
            </a:r>
            <a:endParaRPr lang="pt-BR" sz="11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7154302183844614E-2"/>
          <c:y val="8.5874954201894532E-2"/>
          <c:w val="0.86573466353730388"/>
          <c:h val="0.6395787952592491"/>
        </c:manualLayout>
      </c:layout>
      <c:scatterChart>
        <c:scatterStyle val="lineMarker"/>
        <c:varyColors val="0"/>
        <c:ser>
          <c:idx val="1"/>
          <c:order val="0"/>
          <c:tx>
            <c:strRef>
              <c:f>Curvas!$C$9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3526875834543226"/>
                  <c:y val="2.9484558892577926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D27A1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D27A1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Curvas!$B$10:$B$42</c:f>
              <c:numCache>
                <c:formatCode>General</c:formatCode>
                <c:ptCount val="33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40.028613500162699</c:v>
                </c:pt>
                <c:pt idx="19">
                  <c:v>41.030045894240203</c:v>
                </c:pt>
                <c:pt idx="20">
                  <c:v>41.9814017979173</c:v>
                </c:pt>
                <c:pt idx="21">
                  <c:v>43.032904952164003</c:v>
                </c:pt>
                <c:pt idx="22">
                  <c:v>43.9842608558411</c:v>
                </c:pt>
                <c:pt idx="23">
                  <c:v>45.035764010087803</c:v>
                </c:pt>
                <c:pt idx="24">
                  <c:v>46.0371964041653</c:v>
                </c:pt>
                <c:pt idx="25">
                  <c:v>46.988552307842397</c:v>
                </c:pt>
                <c:pt idx="26">
                  <c:v>48.0400554620891</c:v>
                </c:pt>
                <c:pt idx="27">
                  <c:v>49.041487856166597</c:v>
                </c:pt>
                <c:pt idx="28">
                  <c:v>50.0429145200129</c:v>
                </c:pt>
                <c:pt idx="29">
                  <c:v>51.044346914090397</c:v>
                </c:pt>
                <c:pt idx="30">
                  <c:v>52.045779308167901</c:v>
                </c:pt>
                <c:pt idx="31">
                  <c:v>53.047211702245399</c:v>
                </c:pt>
                <c:pt idx="32">
                  <c:v>53.998567605922503</c:v>
                </c:pt>
              </c:numCache>
            </c:numRef>
          </c:xVal>
          <c:yVal>
            <c:numRef>
              <c:f>Curvas!$C$10:$C$42</c:f>
              <c:numCache>
                <c:formatCode>General</c:formatCode>
                <c:ptCount val="33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34.949897696928097</c:v>
                </c:pt>
                <c:pt idx="19">
                  <c:v>36.452903720442102</c:v>
                </c:pt>
                <c:pt idx="20">
                  <c:v>37.855713738081803</c:v>
                </c:pt>
                <c:pt idx="21">
                  <c:v>39.458915767470202</c:v>
                </c:pt>
                <c:pt idx="22">
                  <c:v>40.961921790984299</c:v>
                </c:pt>
                <c:pt idx="23">
                  <c:v>42.565132420642101</c:v>
                </c:pt>
                <c:pt idx="24">
                  <c:v>44.068138444156197</c:v>
                </c:pt>
                <c:pt idx="25">
                  <c:v>45.571144467670202</c:v>
                </c:pt>
                <c:pt idx="26">
                  <c:v>47.274551103202398</c:v>
                </c:pt>
                <c:pt idx="27">
                  <c:v>48.877758866103697</c:v>
                </c:pt>
                <c:pt idx="28">
                  <c:v>50.480960895492103</c:v>
                </c:pt>
                <c:pt idx="29">
                  <c:v>52.284572137168098</c:v>
                </c:pt>
                <c:pt idx="30">
                  <c:v>53.987975905943699</c:v>
                </c:pt>
                <c:pt idx="31">
                  <c:v>55.691383974854098</c:v>
                </c:pt>
                <c:pt idx="32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48-44F4-9340-2E66C169B95A}"/>
            </c:ext>
          </c:extLst>
        </c:ser>
        <c:ser>
          <c:idx val="0"/>
          <c:order val="1"/>
          <c:tx>
            <c:strRef>
              <c:f>Curvas!$C$45</c:f>
              <c:strCache>
                <c:ptCount val="1"/>
                <c:pt idx="0">
                  <c:v>fck (-90 graus)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211696439633121"/>
                  <c:y val="6.6981359012983466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0070C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Curvas!$B$46:$B$74</c:f>
              <c:numCache>
                <c:formatCode>General</c:formatCode>
                <c:ptCount val="29"/>
                <c:pt idx="0">
                  <c:v>27.0100138655222</c:v>
                </c:pt>
                <c:pt idx="1">
                  <c:v>27.971386213325701</c:v>
                </c:pt>
                <c:pt idx="2">
                  <c:v>28.992845765424601</c:v>
                </c:pt>
                <c:pt idx="3">
                  <c:v>30.014305317523501</c:v>
                </c:pt>
                <c:pt idx="4">
                  <c:v>31.035770599853699</c:v>
                </c:pt>
                <c:pt idx="5">
                  <c:v>31.997137217425902</c:v>
                </c:pt>
                <c:pt idx="6">
                  <c:v>33.018596769524798</c:v>
                </c:pt>
                <c:pt idx="7">
                  <c:v>33.979969117328203</c:v>
                </c:pt>
                <c:pt idx="8">
                  <c:v>34.941347195362901</c:v>
                </c:pt>
                <c:pt idx="9">
                  <c:v>35.962801017230603</c:v>
                </c:pt>
                <c:pt idx="10">
                  <c:v>36.924173365034001</c:v>
                </c:pt>
                <c:pt idx="11">
                  <c:v>37.8855514430686</c:v>
                </c:pt>
                <c:pt idx="12">
                  <c:v>39.087266877822898</c:v>
                </c:pt>
                <c:pt idx="13">
                  <c:v>39.928464817035298</c:v>
                </c:pt>
                <c:pt idx="14">
                  <c:v>41.070098777725299</c:v>
                </c:pt>
                <c:pt idx="15">
                  <c:v>42.031471125528697</c:v>
                </c:pt>
                <c:pt idx="16">
                  <c:v>43.0529306776276</c:v>
                </c:pt>
                <c:pt idx="17">
                  <c:v>44.014303025430998</c:v>
                </c:pt>
                <c:pt idx="18">
                  <c:v>44.975675373234502</c:v>
                </c:pt>
                <c:pt idx="19">
                  <c:v>46.057222129628897</c:v>
                </c:pt>
                <c:pt idx="20">
                  <c:v>47.018594477432302</c:v>
                </c:pt>
                <c:pt idx="21">
                  <c:v>47.979966825235799</c:v>
                </c:pt>
                <c:pt idx="22">
                  <c:v>49.001426377334703</c:v>
                </c:pt>
                <c:pt idx="23">
                  <c:v>50.022885929433599</c:v>
                </c:pt>
                <c:pt idx="24">
                  <c:v>50.984258277236997</c:v>
                </c:pt>
                <c:pt idx="25">
                  <c:v>52.005717829336</c:v>
                </c:pt>
                <c:pt idx="26">
                  <c:v>52.907002972843898</c:v>
                </c:pt>
                <c:pt idx="27">
                  <c:v>54.048636933533899</c:v>
                </c:pt>
                <c:pt idx="28">
                  <c:v>54.5894103117311</c:v>
                </c:pt>
              </c:numCache>
            </c:numRef>
          </c:xVal>
          <c:yVal>
            <c:numRef>
              <c:f>Curvas!$C$46:$C$74</c:f>
              <c:numCache>
                <c:formatCode>General</c:formatCode>
                <c:ptCount val="29"/>
                <c:pt idx="0">
                  <c:v>11.257205196883101</c:v>
                </c:pt>
                <c:pt idx="1">
                  <c:v>12.459608961889099</c:v>
                </c:pt>
                <c:pt idx="2">
                  <c:v>13.7822445031256</c:v>
                </c:pt>
                <c:pt idx="3">
                  <c:v>15.1048972449023</c:v>
                </c:pt>
                <c:pt idx="4">
                  <c:v>16.547781762909501</c:v>
                </c:pt>
                <c:pt idx="5">
                  <c:v>17.750191261428899</c:v>
                </c:pt>
                <c:pt idx="6">
                  <c:v>19.193070045922699</c:v>
                </c:pt>
                <c:pt idx="7">
                  <c:v>20.395473810928699</c:v>
                </c:pt>
                <c:pt idx="8">
                  <c:v>21.7181265527053</c:v>
                </c:pt>
                <c:pt idx="9">
                  <c:v>23.161011070712501</c:v>
                </c:pt>
                <c:pt idx="10">
                  <c:v>24.4836580789758</c:v>
                </c:pt>
                <c:pt idx="11">
                  <c:v>25.806293620212301</c:v>
                </c:pt>
                <c:pt idx="12">
                  <c:v>27.4896646247341</c:v>
                </c:pt>
                <c:pt idx="13">
                  <c:v>28.692074123253501</c:v>
                </c:pt>
                <c:pt idx="14">
                  <c:v>30.255201884518002</c:v>
                </c:pt>
                <c:pt idx="15">
                  <c:v>31.698086402525199</c:v>
                </c:pt>
                <c:pt idx="16">
                  <c:v>33.140965187018899</c:v>
                </c:pt>
                <c:pt idx="17">
                  <c:v>34.583855438539501</c:v>
                </c:pt>
                <c:pt idx="18">
                  <c:v>36.026745690060103</c:v>
                </c:pt>
                <c:pt idx="19">
                  <c:v>37.589867717811202</c:v>
                </c:pt>
                <c:pt idx="20">
                  <c:v>39.152992612318997</c:v>
                </c:pt>
                <c:pt idx="21">
                  <c:v>40.595882863839599</c:v>
                </c:pt>
                <c:pt idx="22">
                  <c:v>42.159004891590598</c:v>
                </c:pt>
                <c:pt idx="23">
                  <c:v>43.842375896112401</c:v>
                </c:pt>
                <c:pt idx="24">
                  <c:v>45.405500790620202</c:v>
                </c:pt>
                <c:pt idx="25">
                  <c:v>47.209109304885899</c:v>
                </c:pt>
                <c:pt idx="26">
                  <c:v>48.772231332636999</c:v>
                </c:pt>
                <c:pt idx="27">
                  <c:v>50.936563843161203</c:v>
                </c:pt>
                <c:pt idx="28">
                  <c:v>51.898486855165999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48-44F4-9340-2E66C169B95A}"/>
            </c:ext>
          </c:extLst>
        </c:ser>
        <c:ser>
          <c:idx val="2"/>
          <c:order val="2"/>
          <c:tx>
            <c:strRef>
              <c:f>Curvas!$C$76</c:f>
              <c:strCache>
                <c:ptCount val="1"/>
                <c:pt idx="0">
                  <c:v>fck (+90 graus)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0919805304962036"/>
                  <c:y val="-9.1749391862079074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Curvas!$B$77:$B$108</c:f>
              <c:numCache>
                <c:formatCode>General</c:formatCode>
                <c:ptCount val="32"/>
                <c:pt idx="0">
                  <c:v>19.979971409420699</c:v>
                </c:pt>
                <c:pt idx="1">
                  <c:v>20.941346622339701</c:v>
                </c:pt>
                <c:pt idx="2">
                  <c:v>22.022893378734199</c:v>
                </c:pt>
                <c:pt idx="3">
                  <c:v>23.044350065717499</c:v>
                </c:pt>
                <c:pt idx="4">
                  <c:v>24.0057224135209</c:v>
                </c:pt>
                <c:pt idx="5">
                  <c:v>24.9670947613244</c:v>
                </c:pt>
                <c:pt idx="6">
                  <c:v>25.9885543134233</c:v>
                </c:pt>
                <c:pt idx="7">
                  <c:v>27.0100138655222</c:v>
                </c:pt>
                <c:pt idx="8">
                  <c:v>28.031476282736801</c:v>
                </c:pt>
                <c:pt idx="9">
                  <c:v>28.992845765424601</c:v>
                </c:pt>
                <c:pt idx="10">
                  <c:v>30.014305317523501</c:v>
                </c:pt>
                <c:pt idx="11">
                  <c:v>30.975677665326899</c:v>
                </c:pt>
                <c:pt idx="12">
                  <c:v>31.997137217425902</c:v>
                </c:pt>
                <c:pt idx="13">
                  <c:v>33.018596769524798</c:v>
                </c:pt>
                <c:pt idx="14">
                  <c:v>34.040062051854903</c:v>
                </c:pt>
                <c:pt idx="15">
                  <c:v>34.941347195362901</c:v>
                </c:pt>
                <c:pt idx="16">
                  <c:v>35.962801017230603</c:v>
                </c:pt>
                <c:pt idx="17">
                  <c:v>36.9842605693295</c:v>
                </c:pt>
                <c:pt idx="18">
                  <c:v>38.005720121428503</c:v>
                </c:pt>
                <c:pt idx="19">
                  <c:v>38.967092469231901</c:v>
                </c:pt>
                <c:pt idx="20">
                  <c:v>39.988552021330797</c:v>
                </c:pt>
                <c:pt idx="21">
                  <c:v>40.949930099365403</c:v>
                </c:pt>
                <c:pt idx="22">
                  <c:v>42.031471125528697</c:v>
                </c:pt>
                <c:pt idx="23">
                  <c:v>43.0529306776276</c:v>
                </c:pt>
                <c:pt idx="24">
                  <c:v>43.954215821135499</c:v>
                </c:pt>
                <c:pt idx="25">
                  <c:v>44.975675373234502</c:v>
                </c:pt>
                <c:pt idx="26">
                  <c:v>45.997134925333398</c:v>
                </c:pt>
                <c:pt idx="27">
                  <c:v>46.958507273136803</c:v>
                </c:pt>
                <c:pt idx="28">
                  <c:v>48.040054029531298</c:v>
                </c:pt>
                <c:pt idx="29">
                  <c:v>49.061513581630201</c:v>
                </c:pt>
                <c:pt idx="30">
                  <c:v>50.022885929433599</c:v>
                </c:pt>
                <c:pt idx="31">
                  <c:v>50.623746511926399</c:v>
                </c:pt>
              </c:numCache>
            </c:numRef>
          </c:xVal>
          <c:yVal>
            <c:numRef>
              <c:f>Curvas!$C$77:$C$108</c:f>
              <c:numCache>
                <c:formatCode>General</c:formatCode>
                <c:ptCount val="32"/>
                <c:pt idx="0">
                  <c:v>12.2191282088879</c:v>
                </c:pt>
                <c:pt idx="1">
                  <c:v>13.421531973893901</c:v>
                </c:pt>
                <c:pt idx="2">
                  <c:v>14.7441789821572</c:v>
                </c:pt>
                <c:pt idx="3">
                  <c:v>16.0668202569071</c:v>
                </c:pt>
                <c:pt idx="4">
                  <c:v>17.269229755426501</c:v>
                </c:pt>
                <c:pt idx="5">
                  <c:v>18.351390277175199</c:v>
                </c:pt>
                <c:pt idx="6">
                  <c:v>19.794269061668999</c:v>
                </c:pt>
                <c:pt idx="7">
                  <c:v>20.996672826674899</c:v>
                </c:pt>
                <c:pt idx="8">
                  <c:v>22.3193255684516</c:v>
                </c:pt>
                <c:pt idx="9">
                  <c:v>23.521735066971001</c:v>
                </c:pt>
                <c:pt idx="10">
                  <c:v>24.964619584978202</c:v>
                </c:pt>
                <c:pt idx="11">
                  <c:v>26.167023349984198</c:v>
                </c:pt>
                <c:pt idx="12">
                  <c:v>27.609902134477998</c:v>
                </c:pt>
                <c:pt idx="13">
                  <c:v>28.932549142741301</c:v>
                </c:pt>
                <c:pt idx="14">
                  <c:v>30.3754393942619</c:v>
                </c:pt>
                <c:pt idx="15">
                  <c:v>31.5778431592678</c:v>
                </c:pt>
                <c:pt idx="16">
                  <c:v>33.020733410788402</c:v>
                </c:pt>
                <c:pt idx="17">
                  <c:v>34.4636179287956</c:v>
                </c:pt>
                <c:pt idx="18">
                  <c:v>35.906502446802797</c:v>
                </c:pt>
                <c:pt idx="19">
                  <c:v>37.2291494550661</c:v>
                </c:pt>
                <c:pt idx="20">
                  <c:v>38.792277216330604</c:v>
                </c:pt>
                <c:pt idx="21">
                  <c:v>40.235158867581099</c:v>
                </c:pt>
                <c:pt idx="22">
                  <c:v>41.798286628845503</c:v>
                </c:pt>
                <c:pt idx="23">
                  <c:v>43.361408656596602</c:v>
                </c:pt>
                <c:pt idx="24">
                  <c:v>44.804298908117197</c:v>
                </c:pt>
                <c:pt idx="25">
                  <c:v>46.367420935868303</c:v>
                </c:pt>
                <c:pt idx="26">
                  <c:v>48.050791940390098</c:v>
                </c:pt>
                <c:pt idx="27">
                  <c:v>49.734160078155199</c:v>
                </c:pt>
                <c:pt idx="28">
                  <c:v>51.537765725664201</c:v>
                </c:pt>
                <c:pt idx="29">
                  <c:v>53.341374239929799</c:v>
                </c:pt>
                <c:pt idx="30">
                  <c:v>55.144979887438801</c:v>
                </c:pt>
                <c:pt idx="31">
                  <c:v>56.3473865192015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48-44F4-9340-2E66C169B95A}"/>
            </c:ext>
          </c:extLst>
        </c:ser>
        <c:ser>
          <c:idx val="3"/>
          <c:order val="3"/>
          <c:tx>
            <c:strRef>
              <c:f>'TABELA_ESCLEROMETRIA Rev'!$AH$4:$AH$5</c:f>
              <c:strCache>
                <c:ptCount val="2"/>
                <c:pt idx="0">
                  <c:v>Resistência à compressão (descons. carbonatação) fc(MPa)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'TABELA_ESCLEROMETRIA Rev'!$AG$6:$AG$27</c:f>
              <c:numCache>
                <c:formatCode>0.00</c:formatCode>
                <c:ptCount val="22"/>
                <c:pt idx="0">
                  <c:v>34.444444444444443</c:v>
                </c:pt>
                <c:pt idx="1">
                  <c:v>30.392156862745097</c:v>
                </c:pt>
                <c:pt idx="2">
                  <c:v>31.372549019607842</c:v>
                </c:pt>
                <c:pt idx="3">
                  <c:v>36.349924585218702</c:v>
                </c:pt>
                <c:pt idx="4">
                  <c:v>35.671191553544496</c:v>
                </c:pt>
                <c:pt idx="5">
                  <c:v>40.196078431372548</c:v>
                </c:pt>
                <c:pt idx="6">
                  <c:v>37.33031674208145</c:v>
                </c:pt>
                <c:pt idx="7">
                  <c:v>31.372549019607842</c:v>
                </c:pt>
                <c:pt idx="8">
                  <c:v>31.297134238310708</c:v>
                </c:pt>
                <c:pt idx="9">
                  <c:v>32.598039215686271</c:v>
                </c:pt>
                <c:pt idx="10">
                  <c:v>31.862745098039213</c:v>
                </c:pt>
                <c:pt idx="11">
                  <c:v>30.882352941176471</c:v>
                </c:pt>
                <c:pt idx="12">
                  <c:v>31.582633053221286</c:v>
                </c:pt>
                <c:pt idx="13">
                  <c:v>32.352941176470587</c:v>
                </c:pt>
                <c:pt idx="14">
                  <c:v>29.487179487179485</c:v>
                </c:pt>
                <c:pt idx="15">
                  <c:v>31.258826852462104</c:v>
                </c:pt>
                <c:pt idx="16">
                  <c:v>33.222591362126245</c:v>
                </c:pt>
                <c:pt idx="17">
                  <c:v>33.333333333333329</c:v>
                </c:pt>
                <c:pt idx="18">
                  <c:v>33.572302850148624</c:v>
                </c:pt>
                <c:pt idx="19">
                  <c:v>35.679314565483473</c:v>
                </c:pt>
                <c:pt idx="20">
                  <c:v>34.467564259485926</c:v>
                </c:pt>
                <c:pt idx="21">
                  <c:v>41.517747858017131</c:v>
                </c:pt>
              </c:numCache>
            </c:numRef>
          </c:xVal>
          <c:yVal>
            <c:numRef>
              <c:f>'TABELA_ESCLEROMETRIA Rev'!$AH$6:$AH$27</c:f>
              <c:numCache>
                <c:formatCode>0.00</c:formatCode>
                <c:ptCount val="22"/>
                <c:pt idx="0">
                  <c:v>27.008984694252394</c:v>
                </c:pt>
                <c:pt idx="1">
                  <c:v>21.479964002996514</c:v>
                </c:pt>
                <c:pt idx="2">
                  <c:v>22.801873634883943</c:v>
                </c:pt>
                <c:pt idx="3">
                  <c:v>29.675151814325542</c:v>
                </c:pt>
                <c:pt idx="4">
                  <c:v>28.720062893708683</c:v>
                </c:pt>
                <c:pt idx="5">
                  <c:v>35.212385801889852</c:v>
                </c:pt>
                <c:pt idx="6">
                  <c:v>31.065844568082493</c:v>
                </c:pt>
                <c:pt idx="7">
                  <c:v>22.801873634883943</c:v>
                </c:pt>
                <c:pt idx="8">
                  <c:v>22.699857432271227</c:v>
                </c:pt>
                <c:pt idx="9">
                  <c:v>24.467794611598688</c:v>
                </c:pt>
                <c:pt idx="10">
                  <c:v>23.466372791381065</c:v>
                </c:pt>
                <c:pt idx="11">
                  <c:v>22.139766131766738</c:v>
                </c:pt>
                <c:pt idx="12">
                  <c:v>23.086361101305112</c:v>
                </c:pt>
                <c:pt idx="13">
                  <c:v>24.13334988029106</c:v>
                </c:pt>
                <c:pt idx="14">
                  <c:v>20.267633880827557</c:v>
                </c:pt>
                <c:pt idx="15">
                  <c:v>22.648059275808794</c:v>
                </c:pt>
                <c:pt idx="16">
                  <c:v>25.322989474082267</c:v>
                </c:pt>
                <c:pt idx="17">
                  <c:v>25.475082971481473</c:v>
                </c:pt>
                <c:pt idx="18">
                  <c:v>25.8037619430057</c:v>
                </c:pt>
                <c:pt idx="19">
                  <c:v>28.731457164570205</c:v>
                </c:pt>
                <c:pt idx="20">
                  <c:v>27.041058386564774</c:v>
                </c:pt>
                <c:pt idx="21">
                  <c:v>30.89024508362894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48-44F4-9340-2E66C169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4672"/>
        <c:axId val="4753712"/>
      </c:scatterChart>
      <c:valAx>
        <c:axId val="4754672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>
                    <a:solidFill>
                      <a:sysClr val="windowText" lastClr="000000"/>
                    </a:solidFill>
                  </a:rPr>
                  <a:t>R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3712"/>
        <c:crosses val="autoZero"/>
        <c:crossBetween val="midCat"/>
      </c:valAx>
      <c:valAx>
        <c:axId val="47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>
                    <a:solidFill>
                      <a:sysClr val="windowText" lastClr="000000"/>
                    </a:solidFill>
                  </a:rPr>
                  <a:t>fck (MPa)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6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344126325601564E-2"/>
          <c:y val="0.18560185185185185"/>
          <c:w val="0.8424923333103578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'TABELA_ESCLEROMETRIA Rev'!$AI$4:$AI$5</c:f>
              <c:strCache>
                <c:ptCount val="2"/>
                <c:pt idx="0">
                  <c:v>Redução em fc devido a carbona-tação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'TABELA_ESCLEROMETRIA Rev'!$AH$6:$AH$32</c:f>
              <c:numCache>
                <c:formatCode>0.00</c:formatCode>
                <c:ptCount val="27"/>
                <c:pt idx="0">
                  <c:v>27.008984694252394</c:v>
                </c:pt>
                <c:pt idx="1">
                  <c:v>21.479964002996514</c:v>
                </c:pt>
                <c:pt idx="2">
                  <c:v>22.801873634883943</c:v>
                </c:pt>
                <c:pt idx="3">
                  <c:v>29.675151814325542</c:v>
                </c:pt>
                <c:pt idx="4">
                  <c:v>28.720062893708683</c:v>
                </c:pt>
                <c:pt idx="5">
                  <c:v>35.212385801889852</c:v>
                </c:pt>
                <c:pt idx="6">
                  <c:v>31.065844568082493</c:v>
                </c:pt>
                <c:pt idx="7">
                  <c:v>22.801873634883943</c:v>
                </c:pt>
                <c:pt idx="8">
                  <c:v>22.699857432271227</c:v>
                </c:pt>
                <c:pt idx="9">
                  <c:v>24.467794611598688</c:v>
                </c:pt>
                <c:pt idx="10">
                  <c:v>23.466372791381065</c:v>
                </c:pt>
                <c:pt idx="11">
                  <c:v>22.139766131766738</c:v>
                </c:pt>
                <c:pt idx="12">
                  <c:v>23.086361101305112</c:v>
                </c:pt>
                <c:pt idx="13">
                  <c:v>24.13334988029106</c:v>
                </c:pt>
                <c:pt idx="14">
                  <c:v>20.267633880827557</c:v>
                </c:pt>
                <c:pt idx="15">
                  <c:v>22.648059275808794</c:v>
                </c:pt>
                <c:pt idx="16">
                  <c:v>25.322989474082267</c:v>
                </c:pt>
                <c:pt idx="17">
                  <c:v>25.475082971481473</c:v>
                </c:pt>
                <c:pt idx="18">
                  <c:v>25.8037619430057</c:v>
                </c:pt>
                <c:pt idx="19">
                  <c:v>28.731457164570205</c:v>
                </c:pt>
                <c:pt idx="20">
                  <c:v>27.041058386564774</c:v>
                </c:pt>
                <c:pt idx="21">
                  <c:v>30.89024508362894</c:v>
                </c:pt>
                <c:pt idx="22">
                  <c:v>37.52436981753668</c:v>
                </c:pt>
                <c:pt idx="23">
                  <c:v>38.532330567174682</c:v>
                </c:pt>
                <c:pt idx="24">
                  <c:v>33.16124022187519</c:v>
                </c:pt>
                <c:pt idx="25">
                  <c:v>36.528285615417957</c:v>
                </c:pt>
                <c:pt idx="26">
                  <c:v>37.681410361130844</c:v>
                </c:pt>
              </c:numCache>
            </c:numRef>
          </c:xVal>
          <c:yVal>
            <c:numRef>
              <c:f>'TABELA_ESCLEROMETRIA Rev'!$AI$6:$AI$32</c:f>
              <c:numCache>
                <c:formatCode>0.000</c:formatCode>
                <c:ptCount val="27"/>
                <c:pt idx="0">
                  <c:v>0.61667419286486758</c:v>
                </c:pt>
                <c:pt idx="1">
                  <c:v>0.64187520689403299</c:v>
                </c:pt>
                <c:pt idx="2">
                  <c:v>0.63477558709513171</c:v>
                </c:pt>
                <c:pt idx="3">
                  <c:v>0.60902724283158394</c:v>
                </c:pt>
                <c:pt idx="4">
                  <c:v>0.61143616841081272</c:v>
                </c:pt>
                <c:pt idx="5">
                  <c:v>0.60109749127812528</c:v>
                </c:pt>
                <c:pt idx="6">
                  <c:v>0.60613262841930005</c:v>
                </c:pt>
                <c:pt idx="7">
                  <c:v>0.63477558709513171</c:v>
                </c:pt>
                <c:pt idx="8">
                  <c:v>0.63530231654915892</c:v>
                </c:pt>
                <c:pt idx="9">
                  <c:v>0.6267350402382954</c:v>
                </c:pt>
                <c:pt idx="10">
                  <c:v>0.6314388179520205</c:v>
                </c:pt>
                <c:pt idx="11">
                  <c:v>0.63825929843290474</c:v>
                </c:pt>
                <c:pt idx="12">
                  <c:v>0.63332678476350401</c:v>
                </c:pt>
                <c:pt idx="13">
                  <c:v>0.62826112185975003</c:v>
                </c:pt>
                <c:pt idx="14">
                  <c:v>0.64883695091372307</c:v>
                </c:pt>
                <c:pt idx="15">
                  <c:v>0.63557119003201579</c:v>
                </c:pt>
                <c:pt idx="16">
                  <c:v>0.62304360021564476</c:v>
                </c:pt>
                <c:pt idx="17">
                  <c:v>0.62241932126834554</c:v>
                </c:pt>
                <c:pt idx="18">
                  <c:v>0.62110380727567138</c:v>
                </c:pt>
                <c:pt idx="19">
                  <c:v>0.61140531131672127</c:v>
                </c:pt>
                <c:pt idx="20">
                  <c:v>0.61656475899802476</c:v>
                </c:pt>
                <c:pt idx="21">
                  <c:v>0.60646002160768586</c:v>
                </c:pt>
                <c:pt idx="22">
                  <c:v>0.59999468058351613</c:v>
                </c:pt>
                <c:pt idx="23">
                  <c:v>0.59976184225147189</c:v>
                </c:pt>
                <c:pt idx="24">
                  <c:v>0.6029941204125786</c:v>
                </c:pt>
                <c:pt idx="25">
                  <c:v>0.6003592692796742</c:v>
                </c:pt>
                <c:pt idx="26">
                  <c:v>0.59995015739965418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04-451B-9055-F15808E9FDE1}"/>
            </c:ext>
          </c:extLst>
        </c:ser>
        <c:ser>
          <c:idx val="1"/>
          <c:order val="1"/>
          <c:tx>
            <c:strRef>
              <c:f>'TABELA_ESCLEROMETRIA Rev'!$BE$27:$BE$28</c:f>
              <c:strCache>
                <c:ptCount val="2"/>
                <c:pt idx="0">
                  <c:v>Redução em fck devido a carbona-tação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'TABELA_ESCLEROMETRIA Rev'!$BD$44:$BD$54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</c:numCache>
            </c:numRef>
          </c:xVal>
          <c:yVal>
            <c:numRef>
              <c:f>'TABELA_ESCLEROMETRIA Rev'!$BE$44:$BE$54</c:f>
              <c:numCache>
                <c:formatCode>General</c:formatCode>
                <c:ptCount val="11"/>
                <c:pt idx="0">
                  <c:v>0.69264207110000009</c:v>
                </c:pt>
                <c:pt idx="1">
                  <c:v>0.67980646412343759</c:v>
                </c:pt>
                <c:pt idx="2">
                  <c:v>0.65041897840000029</c:v>
                </c:pt>
                <c:pt idx="3">
                  <c:v>0.62440177402343777</c:v>
                </c:pt>
                <c:pt idx="4">
                  <c:v>0.60828787590000077</c:v>
                </c:pt>
                <c:pt idx="5">
                  <c:v>0.601248398185938</c:v>
                </c:pt>
                <c:pt idx="6">
                  <c:v>0.59960861360000073</c:v>
                </c:pt>
                <c:pt idx="7">
                  <c:v>0.59985286761093959</c:v>
                </c:pt>
                <c:pt idx="8">
                  <c:v>0.60011833750000299</c:v>
                </c:pt>
                <c:pt idx="9">
                  <c:v>0.60017763629843635</c:v>
                </c:pt>
                <c:pt idx="10">
                  <c:v>0.59991026160000316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04-451B-9055-F15808E9F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724479"/>
        <c:axId val="1663720159"/>
      </c:scatterChart>
      <c:valAx>
        <c:axId val="166372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3720159"/>
        <c:crosses val="autoZero"/>
        <c:crossBetween val="midCat"/>
      </c:valAx>
      <c:valAx>
        <c:axId val="16637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372447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a-Latn-001" sz="1100" baseline="0">
                <a:solidFill>
                  <a:sysClr val="windowText" lastClr="000000"/>
                </a:solidFill>
              </a:rPr>
              <a:t>Curvas Indíce esclerométrico (R) vs resistência à compressão </a:t>
            </a:r>
            <a:r>
              <a:rPr lang="pt-BR" sz="1100" baseline="0">
                <a:solidFill>
                  <a:sysClr val="windowText" lastClr="000000"/>
                </a:solidFill>
              </a:rPr>
              <a:t>média provável </a:t>
            </a:r>
            <a:r>
              <a:rPr lang="ia-Latn-001" sz="1100" baseline="0">
                <a:solidFill>
                  <a:sysClr val="windowText" lastClr="000000"/>
                </a:solidFill>
              </a:rPr>
              <a:t>(fc</a:t>
            </a:r>
            <a:r>
              <a:rPr lang="pt-BR" sz="1100" baseline="0">
                <a:solidFill>
                  <a:sysClr val="windowText" lastClr="000000"/>
                </a:solidFill>
              </a:rPr>
              <a:t>.cyl.m</a:t>
            </a:r>
            <a:r>
              <a:rPr lang="ia-Latn-001" sz="1100" baseline="0">
                <a:solidFill>
                  <a:sysClr val="windowText" lastClr="000000"/>
                </a:solidFill>
              </a:rPr>
              <a:t>)</a:t>
            </a:r>
            <a:endParaRPr lang="pt-BR" sz="11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7154302183844614E-2"/>
          <c:y val="8.5874954201894532E-2"/>
          <c:w val="0.86573466353730388"/>
          <c:h val="0.72670988337569986"/>
        </c:manualLayout>
      </c:layout>
      <c:scatterChart>
        <c:scatterStyle val="lineMarker"/>
        <c:varyColors val="0"/>
        <c:ser>
          <c:idx val="1"/>
          <c:order val="0"/>
          <c:tx>
            <c:strRef>
              <c:f>Curvas!$C$9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3526875834543226"/>
                  <c:y val="2.9484558892577926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D27A1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D27A1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Curvas!$B$10:$B$42</c:f>
              <c:numCache>
                <c:formatCode>General</c:formatCode>
                <c:ptCount val="33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40.028613500162699</c:v>
                </c:pt>
                <c:pt idx="19">
                  <c:v>41.030045894240203</c:v>
                </c:pt>
                <c:pt idx="20">
                  <c:v>41.9814017979173</c:v>
                </c:pt>
                <c:pt idx="21">
                  <c:v>43.032904952164003</c:v>
                </c:pt>
                <c:pt idx="22">
                  <c:v>43.9842608558411</c:v>
                </c:pt>
                <c:pt idx="23">
                  <c:v>45.035764010087803</c:v>
                </c:pt>
                <c:pt idx="24">
                  <c:v>46.0371964041653</c:v>
                </c:pt>
                <c:pt idx="25">
                  <c:v>46.988552307842397</c:v>
                </c:pt>
                <c:pt idx="26">
                  <c:v>48.0400554620891</c:v>
                </c:pt>
                <c:pt idx="27">
                  <c:v>49.041487856166597</c:v>
                </c:pt>
                <c:pt idx="28">
                  <c:v>50.0429145200129</c:v>
                </c:pt>
                <c:pt idx="29">
                  <c:v>51.044346914090397</c:v>
                </c:pt>
                <c:pt idx="30">
                  <c:v>52.045779308167901</c:v>
                </c:pt>
                <c:pt idx="31">
                  <c:v>53.047211702245399</c:v>
                </c:pt>
                <c:pt idx="32">
                  <c:v>53.998567605922503</c:v>
                </c:pt>
              </c:numCache>
            </c:numRef>
          </c:xVal>
          <c:yVal>
            <c:numRef>
              <c:f>Curvas!$C$10:$C$42</c:f>
              <c:numCache>
                <c:formatCode>General</c:formatCode>
                <c:ptCount val="33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34.949897696928097</c:v>
                </c:pt>
                <c:pt idx="19">
                  <c:v>36.452903720442102</c:v>
                </c:pt>
                <c:pt idx="20">
                  <c:v>37.855713738081803</c:v>
                </c:pt>
                <c:pt idx="21">
                  <c:v>39.458915767470202</c:v>
                </c:pt>
                <c:pt idx="22">
                  <c:v>40.961921790984299</c:v>
                </c:pt>
                <c:pt idx="23">
                  <c:v>42.565132420642101</c:v>
                </c:pt>
                <c:pt idx="24">
                  <c:v>44.068138444156197</c:v>
                </c:pt>
                <c:pt idx="25">
                  <c:v>45.571144467670202</c:v>
                </c:pt>
                <c:pt idx="26">
                  <c:v>47.274551103202398</c:v>
                </c:pt>
                <c:pt idx="27">
                  <c:v>48.877758866103697</c:v>
                </c:pt>
                <c:pt idx="28">
                  <c:v>50.480960895492103</c:v>
                </c:pt>
                <c:pt idx="29">
                  <c:v>52.284572137168098</c:v>
                </c:pt>
                <c:pt idx="30">
                  <c:v>53.987975905943699</c:v>
                </c:pt>
                <c:pt idx="31">
                  <c:v>55.691383974854098</c:v>
                </c:pt>
                <c:pt idx="32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66-47BB-8F61-71BAE220E9E2}"/>
            </c:ext>
          </c:extLst>
        </c:ser>
        <c:ser>
          <c:idx val="0"/>
          <c:order val="1"/>
          <c:tx>
            <c:strRef>
              <c:f>Curvas!$C$45</c:f>
              <c:strCache>
                <c:ptCount val="1"/>
                <c:pt idx="0">
                  <c:v>fck (-90 graus)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211696439633121"/>
                  <c:y val="6.6981359012983466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0070C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Curvas!$B$46:$B$74</c:f>
              <c:numCache>
                <c:formatCode>General</c:formatCode>
                <c:ptCount val="29"/>
                <c:pt idx="0">
                  <c:v>27.0100138655222</c:v>
                </c:pt>
                <c:pt idx="1">
                  <c:v>27.971386213325701</c:v>
                </c:pt>
                <c:pt idx="2">
                  <c:v>28.992845765424601</c:v>
                </c:pt>
                <c:pt idx="3">
                  <c:v>30.014305317523501</c:v>
                </c:pt>
                <c:pt idx="4">
                  <c:v>31.035770599853699</c:v>
                </c:pt>
                <c:pt idx="5">
                  <c:v>31.997137217425902</c:v>
                </c:pt>
                <c:pt idx="6">
                  <c:v>33.018596769524798</c:v>
                </c:pt>
                <c:pt idx="7">
                  <c:v>33.979969117328203</c:v>
                </c:pt>
                <c:pt idx="8">
                  <c:v>34.941347195362901</c:v>
                </c:pt>
                <c:pt idx="9">
                  <c:v>35.962801017230603</c:v>
                </c:pt>
                <c:pt idx="10">
                  <c:v>36.924173365034001</c:v>
                </c:pt>
                <c:pt idx="11">
                  <c:v>37.8855514430686</c:v>
                </c:pt>
                <c:pt idx="12">
                  <c:v>39.087266877822898</c:v>
                </c:pt>
                <c:pt idx="13">
                  <c:v>39.928464817035298</c:v>
                </c:pt>
                <c:pt idx="14">
                  <c:v>41.070098777725299</c:v>
                </c:pt>
                <c:pt idx="15">
                  <c:v>42.031471125528697</c:v>
                </c:pt>
                <c:pt idx="16">
                  <c:v>43.0529306776276</c:v>
                </c:pt>
                <c:pt idx="17">
                  <c:v>44.014303025430998</c:v>
                </c:pt>
                <c:pt idx="18">
                  <c:v>44.975675373234502</c:v>
                </c:pt>
                <c:pt idx="19">
                  <c:v>46.057222129628897</c:v>
                </c:pt>
                <c:pt idx="20">
                  <c:v>47.018594477432302</c:v>
                </c:pt>
                <c:pt idx="21">
                  <c:v>47.979966825235799</c:v>
                </c:pt>
                <c:pt idx="22">
                  <c:v>49.001426377334703</c:v>
                </c:pt>
                <c:pt idx="23">
                  <c:v>50.022885929433599</c:v>
                </c:pt>
                <c:pt idx="24">
                  <c:v>50.984258277236997</c:v>
                </c:pt>
                <c:pt idx="25">
                  <c:v>52.005717829336</c:v>
                </c:pt>
                <c:pt idx="26">
                  <c:v>52.907002972843898</c:v>
                </c:pt>
                <c:pt idx="27">
                  <c:v>54.048636933533899</c:v>
                </c:pt>
                <c:pt idx="28">
                  <c:v>54.5894103117311</c:v>
                </c:pt>
              </c:numCache>
            </c:numRef>
          </c:xVal>
          <c:yVal>
            <c:numRef>
              <c:f>Curvas!$C$46:$C$74</c:f>
              <c:numCache>
                <c:formatCode>General</c:formatCode>
                <c:ptCount val="29"/>
                <c:pt idx="0">
                  <c:v>11.257205196883101</c:v>
                </c:pt>
                <c:pt idx="1">
                  <c:v>12.459608961889099</c:v>
                </c:pt>
                <c:pt idx="2">
                  <c:v>13.7822445031256</c:v>
                </c:pt>
                <c:pt idx="3">
                  <c:v>15.1048972449023</c:v>
                </c:pt>
                <c:pt idx="4">
                  <c:v>16.547781762909501</c:v>
                </c:pt>
                <c:pt idx="5">
                  <c:v>17.750191261428899</c:v>
                </c:pt>
                <c:pt idx="6">
                  <c:v>19.193070045922699</c:v>
                </c:pt>
                <c:pt idx="7">
                  <c:v>20.395473810928699</c:v>
                </c:pt>
                <c:pt idx="8">
                  <c:v>21.7181265527053</c:v>
                </c:pt>
                <c:pt idx="9">
                  <c:v>23.161011070712501</c:v>
                </c:pt>
                <c:pt idx="10">
                  <c:v>24.4836580789758</c:v>
                </c:pt>
                <c:pt idx="11">
                  <c:v>25.806293620212301</c:v>
                </c:pt>
                <c:pt idx="12">
                  <c:v>27.4896646247341</c:v>
                </c:pt>
                <c:pt idx="13">
                  <c:v>28.692074123253501</c:v>
                </c:pt>
                <c:pt idx="14">
                  <c:v>30.255201884518002</c:v>
                </c:pt>
                <c:pt idx="15">
                  <c:v>31.698086402525199</c:v>
                </c:pt>
                <c:pt idx="16">
                  <c:v>33.140965187018899</c:v>
                </c:pt>
                <c:pt idx="17">
                  <c:v>34.583855438539501</c:v>
                </c:pt>
                <c:pt idx="18">
                  <c:v>36.026745690060103</c:v>
                </c:pt>
                <c:pt idx="19">
                  <c:v>37.589867717811202</c:v>
                </c:pt>
                <c:pt idx="20">
                  <c:v>39.152992612318997</c:v>
                </c:pt>
                <c:pt idx="21">
                  <c:v>40.595882863839599</c:v>
                </c:pt>
                <c:pt idx="22">
                  <c:v>42.159004891590598</c:v>
                </c:pt>
                <c:pt idx="23">
                  <c:v>43.842375896112401</c:v>
                </c:pt>
                <c:pt idx="24">
                  <c:v>45.405500790620202</c:v>
                </c:pt>
                <c:pt idx="25">
                  <c:v>47.209109304885899</c:v>
                </c:pt>
                <c:pt idx="26">
                  <c:v>48.772231332636999</c:v>
                </c:pt>
                <c:pt idx="27">
                  <c:v>50.936563843161203</c:v>
                </c:pt>
                <c:pt idx="28">
                  <c:v>51.898486855165999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66-47BB-8F61-71BAE220E9E2}"/>
            </c:ext>
          </c:extLst>
        </c:ser>
        <c:ser>
          <c:idx val="2"/>
          <c:order val="2"/>
          <c:tx>
            <c:strRef>
              <c:f>Curvas!$C$76</c:f>
              <c:strCache>
                <c:ptCount val="1"/>
                <c:pt idx="0">
                  <c:v>fck (+90 graus)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0919805304962036"/>
                  <c:y val="-9.1749391862079074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Curvas!$B$77:$B$108</c:f>
              <c:numCache>
                <c:formatCode>General</c:formatCode>
                <c:ptCount val="32"/>
                <c:pt idx="0">
                  <c:v>19.979971409420699</c:v>
                </c:pt>
                <c:pt idx="1">
                  <c:v>20.941346622339701</c:v>
                </c:pt>
                <c:pt idx="2">
                  <c:v>22.022893378734199</c:v>
                </c:pt>
                <c:pt idx="3">
                  <c:v>23.044350065717499</c:v>
                </c:pt>
                <c:pt idx="4">
                  <c:v>24.0057224135209</c:v>
                </c:pt>
                <c:pt idx="5">
                  <c:v>24.9670947613244</c:v>
                </c:pt>
                <c:pt idx="6">
                  <c:v>25.9885543134233</c:v>
                </c:pt>
                <c:pt idx="7">
                  <c:v>27.0100138655222</c:v>
                </c:pt>
                <c:pt idx="8">
                  <c:v>28.031476282736801</c:v>
                </c:pt>
                <c:pt idx="9">
                  <c:v>28.992845765424601</c:v>
                </c:pt>
                <c:pt idx="10">
                  <c:v>30.014305317523501</c:v>
                </c:pt>
                <c:pt idx="11">
                  <c:v>30.975677665326899</c:v>
                </c:pt>
                <c:pt idx="12">
                  <c:v>31.997137217425902</c:v>
                </c:pt>
                <c:pt idx="13">
                  <c:v>33.018596769524798</c:v>
                </c:pt>
                <c:pt idx="14">
                  <c:v>34.040062051854903</c:v>
                </c:pt>
                <c:pt idx="15">
                  <c:v>34.941347195362901</c:v>
                </c:pt>
                <c:pt idx="16">
                  <c:v>35.962801017230603</c:v>
                </c:pt>
                <c:pt idx="17">
                  <c:v>36.9842605693295</c:v>
                </c:pt>
                <c:pt idx="18">
                  <c:v>38.005720121428503</c:v>
                </c:pt>
                <c:pt idx="19">
                  <c:v>38.967092469231901</c:v>
                </c:pt>
                <c:pt idx="20">
                  <c:v>39.988552021330797</c:v>
                </c:pt>
                <c:pt idx="21">
                  <c:v>40.949930099365403</c:v>
                </c:pt>
                <c:pt idx="22">
                  <c:v>42.031471125528697</c:v>
                </c:pt>
                <c:pt idx="23">
                  <c:v>43.0529306776276</c:v>
                </c:pt>
                <c:pt idx="24">
                  <c:v>43.954215821135499</c:v>
                </c:pt>
                <c:pt idx="25">
                  <c:v>44.975675373234502</c:v>
                </c:pt>
                <c:pt idx="26">
                  <c:v>45.997134925333398</c:v>
                </c:pt>
                <c:pt idx="27">
                  <c:v>46.958507273136803</c:v>
                </c:pt>
                <c:pt idx="28">
                  <c:v>48.040054029531298</c:v>
                </c:pt>
                <c:pt idx="29">
                  <c:v>49.061513581630201</c:v>
                </c:pt>
                <c:pt idx="30">
                  <c:v>50.022885929433599</c:v>
                </c:pt>
                <c:pt idx="31">
                  <c:v>50.623746511926399</c:v>
                </c:pt>
              </c:numCache>
            </c:numRef>
          </c:xVal>
          <c:yVal>
            <c:numRef>
              <c:f>Curvas!$C$77:$C$108</c:f>
              <c:numCache>
                <c:formatCode>General</c:formatCode>
                <c:ptCount val="32"/>
                <c:pt idx="0">
                  <c:v>12.2191282088879</c:v>
                </c:pt>
                <c:pt idx="1">
                  <c:v>13.421531973893901</c:v>
                </c:pt>
                <c:pt idx="2">
                  <c:v>14.7441789821572</c:v>
                </c:pt>
                <c:pt idx="3">
                  <c:v>16.0668202569071</c:v>
                </c:pt>
                <c:pt idx="4">
                  <c:v>17.269229755426501</c:v>
                </c:pt>
                <c:pt idx="5">
                  <c:v>18.351390277175199</c:v>
                </c:pt>
                <c:pt idx="6">
                  <c:v>19.794269061668999</c:v>
                </c:pt>
                <c:pt idx="7">
                  <c:v>20.996672826674899</c:v>
                </c:pt>
                <c:pt idx="8">
                  <c:v>22.3193255684516</c:v>
                </c:pt>
                <c:pt idx="9">
                  <c:v>23.521735066971001</c:v>
                </c:pt>
                <c:pt idx="10">
                  <c:v>24.964619584978202</c:v>
                </c:pt>
                <c:pt idx="11">
                  <c:v>26.167023349984198</c:v>
                </c:pt>
                <c:pt idx="12">
                  <c:v>27.609902134477998</c:v>
                </c:pt>
                <c:pt idx="13">
                  <c:v>28.932549142741301</c:v>
                </c:pt>
                <c:pt idx="14">
                  <c:v>30.3754393942619</c:v>
                </c:pt>
                <c:pt idx="15">
                  <c:v>31.5778431592678</c:v>
                </c:pt>
                <c:pt idx="16">
                  <c:v>33.020733410788402</c:v>
                </c:pt>
                <c:pt idx="17">
                  <c:v>34.4636179287956</c:v>
                </c:pt>
                <c:pt idx="18">
                  <c:v>35.906502446802797</c:v>
                </c:pt>
                <c:pt idx="19">
                  <c:v>37.2291494550661</c:v>
                </c:pt>
                <c:pt idx="20">
                  <c:v>38.792277216330604</c:v>
                </c:pt>
                <c:pt idx="21">
                  <c:v>40.235158867581099</c:v>
                </c:pt>
                <c:pt idx="22">
                  <c:v>41.798286628845503</c:v>
                </c:pt>
                <c:pt idx="23">
                  <c:v>43.361408656596602</c:v>
                </c:pt>
                <c:pt idx="24">
                  <c:v>44.804298908117197</c:v>
                </c:pt>
                <c:pt idx="25">
                  <c:v>46.367420935868303</c:v>
                </c:pt>
                <c:pt idx="26">
                  <c:v>48.050791940390098</c:v>
                </c:pt>
                <c:pt idx="27">
                  <c:v>49.734160078155199</c:v>
                </c:pt>
                <c:pt idx="28">
                  <c:v>51.537765725664201</c:v>
                </c:pt>
                <c:pt idx="29">
                  <c:v>53.341374239929799</c:v>
                </c:pt>
                <c:pt idx="30">
                  <c:v>55.144979887438801</c:v>
                </c:pt>
                <c:pt idx="31">
                  <c:v>56.3473865192015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66-47BB-8F61-71BAE220E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4672"/>
        <c:axId val="4753712"/>
      </c:scatterChart>
      <c:valAx>
        <c:axId val="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>
                    <a:solidFill>
                      <a:sysClr val="windowText" lastClr="000000"/>
                    </a:solidFill>
                  </a:rPr>
                  <a:t>R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3712"/>
        <c:crosses val="autoZero"/>
        <c:crossBetween val="midCat"/>
      </c:valAx>
      <c:valAx>
        <c:axId val="47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>
                    <a:solidFill>
                      <a:sysClr val="windowText" lastClr="000000"/>
                    </a:solidFill>
                  </a:rPr>
                  <a:t>fc</a:t>
                </a:r>
                <a:r>
                  <a:rPr lang="pt-BR">
                    <a:solidFill>
                      <a:sysClr val="windowText" lastClr="000000"/>
                    </a:solidFill>
                  </a:rPr>
                  <a:t>.cyl.m</a:t>
                </a:r>
                <a:r>
                  <a:rPr lang="ia-Latn-001">
                    <a:solidFill>
                      <a:sysClr val="windowText" lastClr="000000"/>
                    </a:solidFill>
                  </a:rPr>
                  <a:t> (MPa)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6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a-Latn-001" sz="1100" baseline="0">
                <a:solidFill>
                  <a:sysClr val="windowText" lastClr="000000"/>
                </a:solidFill>
              </a:rPr>
              <a:t>Curvas Indíce esclerométrico (R) vs resistência à compressão (fck)</a:t>
            </a:r>
            <a:endParaRPr lang="pt-BR" sz="1100" baseline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7154302183844614E-2"/>
          <c:y val="8.5874954201894532E-2"/>
          <c:w val="0.86573466353730388"/>
          <c:h val="0.6395787952592491"/>
        </c:manualLayout>
      </c:layout>
      <c:scatterChart>
        <c:scatterStyle val="lineMarker"/>
        <c:varyColors val="0"/>
        <c:ser>
          <c:idx val="1"/>
          <c:order val="0"/>
          <c:tx>
            <c:strRef>
              <c:f>Curvas!$C$9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3526875834543226"/>
                  <c:y val="2.9484558892577926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D27A1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D27A1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Curvas!$B$10:$B$42</c:f>
              <c:numCache>
                <c:formatCode>General</c:formatCode>
                <c:ptCount val="33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40.028613500162699</c:v>
                </c:pt>
                <c:pt idx="19">
                  <c:v>41.030045894240203</c:v>
                </c:pt>
                <c:pt idx="20">
                  <c:v>41.9814017979173</c:v>
                </c:pt>
                <c:pt idx="21">
                  <c:v>43.032904952164003</c:v>
                </c:pt>
                <c:pt idx="22">
                  <c:v>43.9842608558411</c:v>
                </c:pt>
                <c:pt idx="23">
                  <c:v>45.035764010087803</c:v>
                </c:pt>
                <c:pt idx="24">
                  <c:v>46.0371964041653</c:v>
                </c:pt>
                <c:pt idx="25">
                  <c:v>46.988552307842397</c:v>
                </c:pt>
                <c:pt idx="26">
                  <c:v>48.0400554620891</c:v>
                </c:pt>
                <c:pt idx="27">
                  <c:v>49.041487856166597</c:v>
                </c:pt>
                <c:pt idx="28">
                  <c:v>50.0429145200129</c:v>
                </c:pt>
                <c:pt idx="29">
                  <c:v>51.044346914090397</c:v>
                </c:pt>
                <c:pt idx="30">
                  <c:v>52.045779308167901</c:v>
                </c:pt>
                <c:pt idx="31">
                  <c:v>53.047211702245399</c:v>
                </c:pt>
                <c:pt idx="32">
                  <c:v>53.998567605922503</c:v>
                </c:pt>
              </c:numCache>
            </c:numRef>
          </c:xVal>
          <c:yVal>
            <c:numRef>
              <c:f>Curvas!$C$10:$C$42</c:f>
              <c:numCache>
                <c:formatCode>General</c:formatCode>
                <c:ptCount val="33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34.949897696928097</c:v>
                </c:pt>
                <c:pt idx="19">
                  <c:v>36.452903720442102</c:v>
                </c:pt>
                <c:pt idx="20">
                  <c:v>37.855713738081803</c:v>
                </c:pt>
                <c:pt idx="21">
                  <c:v>39.458915767470202</c:v>
                </c:pt>
                <c:pt idx="22">
                  <c:v>40.961921790984299</c:v>
                </c:pt>
                <c:pt idx="23">
                  <c:v>42.565132420642101</c:v>
                </c:pt>
                <c:pt idx="24">
                  <c:v>44.068138444156197</c:v>
                </c:pt>
                <c:pt idx="25">
                  <c:v>45.571144467670202</c:v>
                </c:pt>
                <c:pt idx="26">
                  <c:v>47.274551103202398</c:v>
                </c:pt>
                <c:pt idx="27">
                  <c:v>48.877758866103697</c:v>
                </c:pt>
                <c:pt idx="28">
                  <c:v>50.480960895492103</c:v>
                </c:pt>
                <c:pt idx="29">
                  <c:v>52.284572137168098</c:v>
                </c:pt>
                <c:pt idx="30">
                  <c:v>53.987975905943699</c:v>
                </c:pt>
                <c:pt idx="31">
                  <c:v>55.691383974854098</c:v>
                </c:pt>
                <c:pt idx="32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15-42AD-8C4D-4D75488B3397}"/>
            </c:ext>
          </c:extLst>
        </c:ser>
        <c:ser>
          <c:idx val="0"/>
          <c:order val="1"/>
          <c:tx>
            <c:strRef>
              <c:f>Curvas!$C$45</c:f>
              <c:strCache>
                <c:ptCount val="1"/>
                <c:pt idx="0">
                  <c:v>fck (-90 graus)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211696439633121"/>
                  <c:y val="6.6981359012983466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0070C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 w="0">
                        <a:noFill/>
                      </a:ln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Curvas!$B$46:$B$74</c:f>
              <c:numCache>
                <c:formatCode>General</c:formatCode>
                <c:ptCount val="29"/>
                <c:pt idx="0">
                  <c:v>27.0100138655222</c:v>
                </c:pt>
                <c:pt idx="1">
                  <c:v>27.971386213325701</c:v>
                </c:pt>
                <c:pt idx="2">
                  <c:v>28.992845765424601</c:v>
                </c:pt>
                <c:pt idx="3">
                  <c:v>30.014305317523501</c:v>
                </c:pt>
                <c:pt idx="4">
                  <c:v>31.035770599853699</c:v>
                </c:pt>
                <c:pt idx="5">
                  <c:v>31.997137217425902</c:v>
                </c:pt>
                <c:pt idx="6">
                  <c:v>33.018596769524798</c:v>
                </c:pt>
                <c:pt idx="7">
                  <c:v>33.979969117328203</c:v>
                </c:pt>
                <c:pt idx="8">
                  <c:v>34.941347195362901</c:v>
                </c:pt>
                <c:pt idx="9">
                  <c:v>35.962801017230603</c:v>
                </c:pt>
                <c:pt idx="10">
                  <c:v>36.924173365034001</c:v>
                </c:pt>
                <c:pt idx="11">
                  <c:v>37.8855514430686</c:v>
                </c:pt>
                <c:pt idx="12">
                  <c:v>39.087266877822898</c:v>
                </c:pt>
                <c:pt idx="13">
                  <c:v>39.928464817035298</c:v>
                </c:pt>
                <c:pt idx="14">
                  <c:v>41.070098777725299</c:v>
                </c:pt>
                <c:pt idx="15">
                  <c:v>42.031471125528697</c:v>
                </c:pt>
                <c:pt idx="16">
                  <c:v>43.0529306776276</c:v>
                </c:pt>
                <c:pt idx="17">
                  <c:v>44.014303025430998</c:v>
                </c:pt>
                <c:pt idx="18">
                  <c:v>44.975675373234502</c:v>
                </c:pt>
                <c:pt idx="19">
                  <c:v>46.057222129628897</c:v>
                </c:pt>
                <c:pt idx="20">
                  <c:v>47.018594477432302</c:v>
                </c:pt>
                <c:pt idx="21">
                  <c:v>47.979966825235799</c:v>
                </c:pt>
                <c:pt idx="22">
                  <c:v>49.001426377334703</c:v>
                </c:pt>
                <c:pt idx="23">
                  <c:v>50.022885929433599</c:v>
                </c:pt>
                <c:pt idx="24">
                  <c:v>50.984258277236997</c:v>
                </c:pt>
                <c:pt idx="25">
                  <c:v>52.005717829336</c:v>
                </c:pt>
                <c:pt idx="26">
                  <c:v>52.907002972843898</c:v>
                </c:pt>
                <c:pt idx="27">
                  <c:v>54.048636933533899</c:v>
                </c:pt>
                <c:pt idx="28">
                  <c:v>54.5894103117311</c:v>
                </c:pt>
              </c:numCache>
            </c:numRef>
          </c:xVal>
          <c:yVal>
            <c:numRef>
              <c:f>Curvas!$C$46:$C$74</c:f>
              <c:numCache>
                <c:formatCode>General</c:formatCode>
                <c:ptCount val="29"/>
                <c:pt idx="0">
                  <c:v>11.257205196883101</c:v>
                </c:pt>
                <c:pt idx="1">
                  <c:v>12.459608961889099</c:v>
                </c:pt>
                <c:pt idx="2">
                  <c:v>13.7822445031256</c:v>
                </c:pt>
                <c:pt idx="3">
                  <c:v>15.1048972449023</c:v>
                </c:pt>
                <c:pt idx="4">
                  <c:v>16.547781762909501</c:v>
                </c:pt>
                <c:pt idx="5">
                  <c:v>17.750191261428899</c:v>
                </c:pt>
                <c:pt idx="6">
                  <c:v>19.193070045922699</c:v>
                </c:pt>
                <c:pt idx="7">
                  <c:v>20.395473810928699</c:v>
                </c:pt>
                <c:pt idx="8">
                  <c:v>21.7181265527053</c:v>
                </c:pt>
                <c:pt idx="9">
                  <c:v>23.161011070712501</c:v>
                </c:pt>
                <c:pt idx="10">
                  <c:v>24.4836580789758</c:v>
                </c:pt>
                <c:pt idx="11">
                  <c:v>25.806293620212301</c:v>
                </c:pt>
                <c:pt idx="12">
                  <c:v>27.4896646247341</c:v>
                </c:pt>
                <c:pt idx="13">
                  <c:v>28.692074123253501</c:v>
                </c:pt>
                <c:pt idx="14">
                  <c:v>30.255201884518002</c:v>
                </c:pt>
                <c:pt idx="15">
                  <c:v>31.698086402525199</c:v>
                </c:pt>
                <c:pt idx="16">
                  <c:v>33.140965187018899</c:v>
                </c:pt>
                <c:pt idx="17">
                  <c:v>34.583855438539501</c:v>
                </c:pt>
                <c:pt idx="18">
                  <c:v>36.026745690060103</c:v>
                </c:pt>
                <c:pt idx="19">
                  <c:v>37.589867717811202</c:v>
                </c:pt>
                <c:pt idx="20">
                  <c:v>39.152992612318997</c:v>
                </c:pt>
                <c:pt idx="21">
                  <c:v>40.595882863839599</c:v>
                </c:pt>
                <c:pt idx="22">
                  <c:v>42.159004891590598</c:v>
                </c:pt>
                <c:pt idx="23">
                  <c:v>43.842375896112401</c:v>
                </c:pt>
                <c:pt idx="24">
                  <c:v>45.405500790620202</c:v>
                </c:pt>
                <c:pt idx="25">
                  <c:v>47.209109304885899</c:v>
                </c:pt>
                <c:pt idx="26">
                  <c:v>48.772231332636999</c:v>
                </c:pt>
                <c:pt idx="27">
                  <c:v>50.936563843161203</c:v>
                </c:pt>
                <c:pt idx="28">
                  <c:v>51.898486855165999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15-42AD-8C4D-4D75488B3397}"/>
            </c:ext>
          </c:extLst>
        </c:ser>
        <c:ser>
          <c:idx val="2"/>
          <c:order val="2"/>
          <c:tx>
            <c:strRef>
              <c:f>Curvas!$C$76</c:f>
              <c:strCache>
                <c:ptCount val="1"/>
                <c:pt idx="0">
                  <c:v>fck (+90 graus)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0919805304962036"/>
                  <c:y val="-9.1749391862079074E-2"/>
                </c:manualLayout>
              </c:layout>
              <c:numFmt formatCode="0.00000000" sourceLinked="0"/>
              <c:spPr>
                <a:noFill/>
                <a:ln w="12700">
                  <a:solidFill>
                    <a:srgbClr val="00B05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Curvas!$B$77:$B$108</c:f>
              <c:numCache>
                <c:formatCode>General</c:formatCode>
                <c:ptCount val="32"/>
                <c:pt idx="0">
                  <c:v>19.979971409420699</c:v>
                </c:pt>
                <c:pt idx="1">
                  <c:v>20.941346622339701</c:v>
                </c:pt>
                <c:pt idx="2">
                  <c:v>22.022893378734199</c:v>
                </c:pt>
                <c:pt idx="3">
                  <c:v>23.044350065717499</c:v>
                </c:pt>
                <c:pt idx="4">
                  <c:v>24.0057224135209</c:v>
                </c:pt>
                <c:pt idx="5">
                  <c:v>24.9670947613244</c:v>
                </c:pt>
                <c:pt idx="6">
                  <c:v>25.9885543134233</c:v>
                </c:pt>
                <c:pt idx="7">
                  <c:v>27.0100138655222</c:v>
                </c:pt>
                <c:pt idx="8">
                  <c:v>28.031476282736801</c:v>
                </c:pt>
                <c:pt idx="9">
                  <c:v>28.992845765424601</c:v>
                </c:pt>
                <c:pt idx="10">
                  <c:v>30.014305317523501</c:v>
                </c:pt>
                <c:pt idx="11">
                  <c:v>30.975677665326899</c:v>
                </c:pt>
                <c:pt idx="12">
                  <c:v>31.997137217425902</c:v>
                </c:pt>
                <c:pt idx="13">
                  <c:v>33.018596769524798</c:v>
                </c:pt>
                <c:pt idx="14">
                  <c:v>34.040062051854903</c:v>
                </c:pt>
                <c:pt idx="15">
                  <c:v>34.941347195362901</c:v>
                </c:pt>
                <c:pt idx="16">
                  <c:v>35.962801017230603</c:v>
                </c:pt>
                <c:pt idx="17">
                  <c:v>36.9842605693295</c:v>
                </c:pt>
                <c:pt idx="18">
                  <c:v>38.005720121428503</c:v>
                </c:pt>
                <c:pt idx="19">
                  <c:v>38.967092469231901</c:v>
                </c:pt>
                <c:pt idx="20">
                  <c:v>39.988552021330797</c:v>
                </c:pt>
                <c:pt idx="21">
                  <c:v>40.949930099365403</c:v>
                </c:pt>
                <c:pt idx="22">
                  <c:v>42.031471125528697</c:v>
                </c:pt>
                <c:pt idx="23">
                  <c:v>43.0529306776276</c:v>
                </c:pt>
                <c:pt idx="24">
                  <c:v>43.954215821135499</c:v>
                </c:pt>
                <c:pt idx="25">
                  <c:v>44.975675373234502</c:v>
                </c:pt>
                <c:pt idx="26">
                  <c:v>45.997134925333398</c:v>
                </c:pt>
                <c:pt idx="27">
                  <c:v>46.958507273136803</c:v>
                </c:pt>
                <c:pt idx="28">
                  <c:v>48.040054029531298</c:v>
                </c:pt>
                <c:pt idx="29">
                  <c:v>49.061513581630201</c:v>
                </c:pt>
                <c:pt idx="30">
                  <c:v>50.022885929433599</c:v>
                </c:pt>
                <c:pt idx="31">
                  <c:v>50.623746511926399</c:v>
                </c:pt>
              </c:numCache>
            </c:numRef>
          </c:xVal>
          <c:yVal>
            <c:numRef>
              <c:f>Curvas!$C$77:$C$108</c:f>
              <c:numCache>
                <c:formatCode>General</c:formatCode>
                <c:ptCount val="32"/>
                <c:pt idx="0">
                  <c:v>12.2191282088879</c:v>
                </c:pt>
                <c:pt idx="1">
                  <c:v>13.421531973893901</c:v>
                </c:pt>
                <c:pt idx="2">
                  <c:v>14.7441789821572</c:v>
                </c:pt>
                <c:pt idx="3">
                  <c:v>16.0668202569071</c:v>
                </c:pt>
                <c:pt idx="4">
                  <c:v>17.269229755426501</c:v>
                </c:pt>
                <c:pt idx="5">
                  <c:v>18.351390277175199</c:v>
                </c:pt>
                <c:pt idx="6">
                  <c:v>19.794269061668999</c:v>
                </c:pt>
                <c:pt idx="7">
                  <c:v>20.996672826674899</c:v>
                </c:pt>
                <c:pt idx="8">
                  <c:v>22.3193255684516</c:v>
                </c:pt>
                <c:pt idx="9">
                  <c:v>23.521735066971001</c:v>
                </c:pt>
                <c:pt idx="10">
                  <c:v>24.964619584978202</c:v>
                </c:pt>
                <c:pt idx="11">
                  <c:v>26.167023349984198</c:v>
                </c:pt>
                <c:pt idx="12">
                  <c:v>27.609902134477998</c:v>
                </c:pt>
                <c:pt idx="13">
                  <c:v>28.932549142741301</c:v>
                </c:pt>
                <c:pt idx="14">
                  <c:v>30.3754393942619</c:v>
                </c:pt>
                <c:pt idx="15">
                  <c:v>31.5778431592678</c:v>
                </c:pt>
                <c:pt idx="16">
                  <c:v>33.020733410788402</c:v>
                </c:pt>
                <c:pt idx="17">
                  <c:v>34.4636179287956</c:v>
                </c:pt>
                <c:pt idx="18">
                  <c:v>35.906502446802797</c:v>
                </c:pt>
                <c:pt idx="19">
                  <c:v>37.2291494550661</c:v>
                </c:pt>
                <c:pt idx="20">
                  <c:v>38.792277216330604</c:v>
                </c:pt>
                <c:pt idx="21">
                  <c:v>40.235158867581099</c:v>
                </c:pt>
                <c:pt idx="22">
                  <c:v>41.798286628845503</c:v>
                </c:pt>
                <c:pt idx="23">
                  <c:v>43.361408656596602</c:v>
                </c:pt>
                <c:pt idx="24">
                  <c:v>44.804298908117197</c:v>
                </c:pt>
                <c:pt idx="25">
                  <c:v>46.367420935868303</c:v>
                </c:pt>
                <c:pt idx="26">
                  <c:v>48.050791940390098</c:v>
                </c:pt>
                <c:pt idx="27">
                  <c:v>49.734160078155199</c:v>
                </c:pt>
                <c:pt idx="28">
                  <c:v>51.537765725664201</c:v>
                </c:pt>
                <c:pt idx="29">
                  <c:v>53.341374239929799</c:v>
                </c:pt>
                <c:pt idx="30">
                  <c:v>55.144979887438801</c:v>
                </c:pt>
                <c:pt idx="31">
                  <c:v>56.3473865192015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15-42AD-8C4D-4D75488B3397}"/>
            </c:ext>
          </c:extLst>
        </c:ser>
        <c:ser>
          <c:idx val="3"/>
          <c:order val="3"/>
          <c:tx>
            <c:strRef>
              <c:f>compPauloBArroso!$AG$4:$AG$5</c:f>
              <c:strCache>
                <c:ptCount val="2"/>
                <c:pt idx="0">
                  <c:v>Resistência à compressão (descons. carbonatação) fck(MPa)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compPauloBArroso!$AF$6:$AF$27</c:f>
              <c:numCache>
                <c:formatCode>0.00</c:formatCode>
                <c:ptCount val="22"/>
                <c:pt idx="0">
                  <c:v>34.402284781721747</c:v>
                </c:pt>
                <c:pt idx="1">
                  <c:v>30.354957160342718</c:v>
                </c:pt>
                <c:pt idx="2">
                  <c:v>31.334149326805385</c:v>
                </c:pt>
                <c:pt idx="3">
                  <c:v>36.305432633462011</c:v>
                </c:pt>
                <c:pt idx="4">
                  <c:v>35.627530364372468</c:v>
                </c:pt>
                <c:pt idx="5">
                  <c:v>40.146878824969399</c:v>
                </c:pt>
                <c:pt idx="6">
                  <c:v>37.284624799924678</c:v>
                </c:pt>
                <c:pt idx="7">
                  <c:v>31.334149326805385</c:v>
                </c:pt>
                <c:pt idx="8">
                  <c:v>31.258826852462104</c:v>
                </c:pt>
                <c:pt idx="9">
                  <c:v>32.558139534883722</c:v>
                </c:pt>
                <c:pt idx="10">
                  <c:v>31.823745410036718</c:v>
                </c:pt>
                <c:pt idx="11">
                  <c:v>30.844553243574051</c:v>
                </c:pt>
                <c:pt idx="12">
                  <c:v>31.543976219618813</c:v>
                </c:pt>
                <c:pt idx="13">
                  <c:v>32.313341493268055</c:v>
                </c:pt>
                <c:pt idx="14">
                  <c:v>29.451087468223331</c:v>
                </c:pt>
                <c:pt idx="15">
                  <c:v>31.258826852462104</c:v>
                </c:pt>
                <c:pt idx="16">
                  <c:v>33.222591362126245</c:v>
                </c:pt>
                <c:pt idx="17">
                  <c:v>33.292533659730722</c:v>
                </c:pt>
                <c:pt idx="18">
                  <c:v>33.572302850148624</c:v>
                </c:pt>
                <c:pt idx="19">
                  <c:v>35.679314565483473</c:v>
                </c:pt>
                <c:pt idx="20">
                  <c:v>34.467564259485926</c:v>
                </c:pt>
                <c:pt idx="21">
                  <c:v>41.517747858017131</c:v>
                </c:pt>
              </c:numCache>
            </c:numRef>
          </c:xVal>
          <c:yVal>
            <c:numRef>
              <c:f>compPauloBArroso!$AG$6:$AG$27</c:f>
              <c:numCache>
                <c:formatCode>0.00</c:formatCode>
                <c:ptCount val="22"/>
                <c:pt idx="0">
                  <c:v>26.950514159173128</c:v>
                </c:pt>
                <c:pt idx="1">
                  <c:v>21.429985015026798</c:v>
                </c:pt>
                <c:pt idx="2">
                  <c:v>22.749921978566366</c:v>
                </c:pt>
                <c:pt idx="3">
                  <c:v>29.612354946138314</c:v>
                </c:pt>
                <c:pt idx="4">
                  <c:v>28.65883348931138</c:v>
                </c:pt>
                <c:pt idx="5">
                  <c:v>35.140109566541966</c:v>
                </c:pt>
                <c:pt idx="6">
                  <c:v>31.000729867772133</c:v>
                </c:pt>
                <c:pt idx="7">
                  <c:v>22.749921978566366</c:v>
                </c:pt>
                <c:pt idx="8">
                  <c:v>22.648059275808794</c:v>
                </c:pt>
                <c:pt idx="9">
                  <c:v>24.413305985868295</c:v>
                </c:pt>
                <c:pt idx="10">
                  <c:v>23.413416069148607</c:v>
                </c:pt>
                <c:pt idx="11">
                  <c:v>22.088806948061265</c:v>
                </c:pt>
                <c:pt idx="12">
                  <c:v>23.033980262940187</c:v>
                </c:pt>
                <c:pt idx="13">
                  <c:v>24.07937518241447</c:v>
                </c:pt>
                <c:pt idx="14">
                  <c:v>20.219433296740316</c:v>
                </c:pt>
                <c:pt idx="15">
                  <c:v>22.648059275808794</c:v>
                </c:pt>
                <c:pt idx="16">
                  <c:v>25.322989474082267</c:v>
                </c:pt>
                <c:pt idx="17">
                  <c:v>25.419032327423057</c:v>
                </c:pt>
                <c:pt idx="18">
                  <c:v>25.8037619430057</c:v>
                </c:pt>
                <c:pt idx="19">
                  <c:v>28.731457164570205</c:v>
                </c:pt>
                <c:pt idx="20">
                  <c:v>27.041058386564774</c:v>
                </c:pt>
                <c:pt idx="21">
                  <c:v>30.89024508362894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15-42AD-8C4D-4D75488B3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4672"/>
        <c:axId val="4753712"/>
      </c:scatterChart>
      <c:valAx>
        <c:axId val="4754672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>
                    <a:solidFill>
                      <a:sysClr val="windowText" lastClr="000000"/>
                    </a:solidFill>
                  </a:rPr>
                  <a:t>R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3712"/>
        <c:crosses val="autoZero"/>
        <c:crossBetween val="midCat"/>
      </c:valAx>
      <c:valAx>
        <c:axId val="475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>
                    <a:solidFill>
                      <a:sysClr val="windowText" lastClr="000000"/>
                    </a:solidFill>
                  </a:rPr>
                  <a:t>fck (MPa)</a:t>
                </a:r>
                <a:endParaRPr lang="pt-B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467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344126325601564E-2"/>
          <c:y val="0.18560185185185185"/>
          <c:w val="0.8424923333103578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compPauloBArroso!$AH$4:$AH$5</c:f>
              <c:strCache>
                <c:ptCount val="2"/>
                <c:pt idx="0">
                  <c:v>Redução em fck devido a carbona-tação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compPauloBArroso!$AG$6:$AG$27</c:f>
              <c:numCache>
                <c:formatCode>0.00</c:formatCode>
                <c:ptCount val="22"/>
                <c:pt idx="0">
                  <c:v>26.950514159173128</c:v>
                </c:pt>
                <c:pt idx="1">
                  <c:v>21.429985015026798</c:v>
                </c:pt>
                <c:pt idx="2">
                  <c:v>22.749921978566366</c:v>
                </c:pt>
                <c:pt idx="3">
                  <c:v>29.612354946138314</c:v>
                </c:pt>
                <c:pt idx="4">
                  <c:v>28.65883348931138</c:v>
                </c:pt>
                <c:pt idx="5">
                  <c:v>35.140109566541966</c:v>
                </c:pt>
                <c:pt idx="6">
                  <c:v>31.000729867772133</c:v>
                </c:pt>
                <c:pt idx="7">
                  <c:v>22.749921978566366</c:v>
                </c:pt>
                <c:pt idx="8">
                  <c:v>22.648059275808794</c:v>
                </c:pt>
                <c:pt idx="9">
                  <c:v>24.413305985868295</c:v>
                </c:pt>
                <c:pt idx="10">
                  <c:v>23.413416069148607</c:v>
                </c:pt>
                <c:pt idx="11">
                  <c:v>22.088806948061265</c:v>
                </c:pt>
                <c:pt idx="12">
                  <c:v>23.033980262940187</c:v>
                </c:pt>
                <c:pt idx="13">
                  <c:v>24.07937518241447</c:v>
                </c:pt>
                <c:pt idx="14">
                  <c:v>20.219433296740316</c:v>
                </c:pt>
                <c:pt idx="15">
                  <c:v>22.648059275808794</c:v>
                </c:pt>
                <c:pt idx="16">
                  <c:v>25.322989474082267</c:v>
                </c:pt>
                <c:pt idx="17">
                  <c:v>25.419032327423057</c:v>
                </c:pt>
                <c:pt idx="18">
                  <c:v>25.8037619430057</c:v>
                </c:pt>
                <c:pt idx="19">
                  <c:v>28.731457164570205</c:v>
                </c:pt>
                <c:pt idx="20">
                  <c:v>27.041058386564774</c:v>
                </c:pt>
                <c:pt idx="21">
                  <c:v>30.89024508362894</c:v>
                </c:pt>
              </c:numCache>
            </c:numRef>
          </c:xVal>
          <c:yVal>
            <c:numRef>
              <c:f>compPauloBArroso!$AH$6:$AH$27</c:f>
              <c:numCache>
                <c:formatCode>0.000</c:formatCode>
                <c:ptCount val="22"/>
                <c:pt idx="0">
                  <c:v>0.68100000000000005</c:v>
                </c:pt>
                <c:pt idx="1">
                  <c:v>0.68100000000000005</c:v>
                </c:pt>
                <c:pt idx="2">
                  <c:v>0.68100000000000005</c:v>
                </c:pt>
                <c:pt idx="3">
                  <c:v>0.68100000000000005</c:v>
                </c:pt>
                <c:pt idx="4">
                  <c:v>0.68100000000000005</c:v>
                </c:pt>
                <c:pt idx="5">
                  <c:v>0.68100000000000005</c:v>
                </c:pt>
                <c:pt idx="6">
                  <c:v>0.68100000000000005</c:v>
                </c:pt>
                <c:pt idx="7">
                  <c:v>0.68100000000000005</c:v>
                </c:pt>
                <c:pt idx="8">
                  <c:v>0.68100000000000005</c:v>
                </c:pt>
                <c:pt idx="9">
                  <c:v>0.68100000000000005</c:v>
                </c:pt>
                <c:pt idx="10">
                  <c:v>0.68100000000000005</c:v>
                </c:pt>
                <c:pt idx="11">
                  <c:v>0.68100000000000005</c:v>
                </c:pt>
                <c:pt idx="12">
                  <c:v>0.68100000000000005</c:v>
                </c:pt>
                <c:pt idx="13">
                  <c:v>0.68100000000000005</c:v>
                </c:pt>
                <c:pt idx="14">
                  <c:v>0.68100000000000005</c:v>
                </c:pt>
                <c:pt idx="15">
                  <c:v>0.68100000000000005</c:v>
                </c:pt>
                <c:pt idx="16">
                  <c:v>0.68100000000000005</c:v>
                </c:pt>
                <c:pt idx="17">
                  <c:v>0.68100000000000005</c:v>
                </c:pt>
                <c:pt idx="18">
                  <c:v>0.68100000000000005</c:v>
                </c:pt>
                <c:pt idx="19">
                  <c:v>0.68100000000000005</c:v>
                </c:pt>
                <c:pt idx="20">
                  <c:v>0.68100000000000005</c:v>
                </c:pt>
                <c:pt idx="21">
                  <c:v>0.68100000000000005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0-4791-95EB-24CB2131DA8A}"/>
            </c:ext>
          </c:extLst>
        </c:ser>
        <c:ser>
          <c:idx val="1"/>
          <c:order val="1"/>
          <c:tx>
            <c:strRef>
              <c:f>compPauloBArroso!$BD$27:$BD$28</c:f>
              <c:strCache>
                <c:ptCount val="2"/>
                <c:pt idx="0">
                  <c:v>Redução em fck devido a carbona-tação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compPauloBArroso!$BC$44:$BC$54</c:f>
              <c:numCache>
                <c:formatCode>General</c:formatCode>
                <c:ptCount val="11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</c:numCache>
            </c:numRef>
          </c:xVal>
          <c:yVal>
            <c:numRef>
              <c:f>compPauloBArroso!$BD$44:$BD$54</c:f>
              <c:numCache>
                <c:formatCode>General</c:formatCode>
                <c:ptCount val="11"/>
                <c:pt idx="0">
                  <c:v>0.69264207110000009</c:v>
                </c:pt>
                <c:pt idx="1">
                  <c:v>0.67980646412343759</c:v>
                </c:pt>
                <c:pt idx="2">
                  <c:v>0.65041897840000029</c:v>
                </c:pt>
                <c:pt idx="3">
                  <c:v>0.62440177402343777</c:v>
                </c:pt>
                <c:pt idx="4">
                  <c:v>0.60828787590000077</c:v>
                </c:pt>
                <c:pt idx="5">
                  <c:v>0.601248398185938</c:v>
                </c:pt>
                <c:pt idx="6">
                  <c:v>0.59960861360000073</c:v>
                </c:pt>
                <c:pt idx="7">
                  <c:v>0.59985286761093959</c:v>
                </c:pt>
                <c:pt idx="8">
                  <c:v>0.60011833750000299</c:v>
                </c:pt>
                <c:pt idx="9">
                  <c:v>0.60017763629843635</c:v>
                </c:pt>
                <c:pt idx="10">
                  <c:v>0.59991026160000316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0-4791-95EB-24CB2131D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724479"/>
        <c:axId val="1663720159"/>
      </c:scatterChart>
      <c:valAx>
        <c:axId val="166372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3720159"/>
        <c:crosses val="autoZero"/>
        <c:crossBetween val="midCat"/>
      </c:valAx>
      <c:valAx>
        <c:axId val="166372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372447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3.emf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488157</xdr:colOff>
      <xdr:row>42</xdr:row>
      <xdr:rowOff>119063</xdr:rowOff>
    </xdr:from>
    <xdr:to>
      <xdr:col>33</xdr:col>
      <xdr:colOff>209793</xdr:colOff>
      <xdr:row>62</xdr:row>
      <xdr:rowOff>96868</xdr:rowOff>
    </xdr:to>
    <xdr:pic>
      <xdr:nvPicPr>
        <xdr:cNvPr id="2" name="image32.png" descr="A graph of a graph&#10;&#10;AI-generated content may be incorrect.">
          <a:extLst>
            <a:ext uri="{FF2B5EF4-FFF2-40B4-BE49-F238E27FC236}">
              <a16:creationId xmlns:a16="http://schemas.microsoft.com/office/drawing/2014/main" id="{CC4EA36B-6434-4D44-9058-B1BDC982F3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071057" y="10063163"/>
          <a:ext cx="5895181" cy="3776822"/>
        </a:xfrm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 editAs="oneCell">
    <xdr:from>
      <xdr:col>46</xdr:col>
      <xdr:colOff>371475</xdr:colOff>
      <xdr:row>4</xdr:row>
      <xdr:rowOff>0</xdr:rowOff>
    </xdr:from>
    <xdr:to>
      <xdr:col>53</xdr:col>
      <xdr:colOff>588982</xdr:colOff>
      <xdr:row>16</xdr:row>
      <xdr:rowOff>60715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ED484B-5427-4201-84E5-723F495A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02235" y="403860"/>
          <a:ext cx="4494233" cy="2852101"/>
        </a:xfrm>
        <a:prstGeom prst="rect">
          <a:avLst/>
        </a:prstGeom>
      </xdr:spPr>
    </xdr:pic>
    <xdr:clientData/>
  </xdr:twoCellAnchor>
  <xdr:twoCellAnchor>
    <xdr:from>
      <xdr:col>37</xdr:col>
      <xdr:colOff>127073</xdr:colOff>
      <xdr:row>63</xdr:row>
      <xdr:rowOff>177388</xdr:rowOff>
    </xdr:from>
    <xdr:to>
      <xdr:col>42</xdr:col>
      <xdr:colOff>672351</xdr:colOff>
      <xdr:row>90</xdr:row>
      <xdr:rowOff>2592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69DB77-1642-4FC2-B5BB-117CE5197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364190</xdr:colOff>
      <xdr:row>22</xdr:row>
      <xdr:rowOff>144891</xdr:rowOff>
    </xdr:from>
    <xdr:to>
      <xdr:col>53</xdr:col>
      <xdr:colOff>93344</xdr:colOff>
      <xdr:row>58</xdr:row>
      <xdr:rowOff>145675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A802DB-6AB0-6DDB-37D1-7E710DC32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571500</xdr:colOff>
      <xdr:row>14</xdr:row>
      <xdr:rowOff>100853</xdr:rowOff>
    </xdr:from>
    <xdr:to>
      <xdr:col>40</xdr:col>
      <xdr:colOff>1922929</xdr:colOff>
      <xdr:row>38</xdr:row>
      <xdr:rowOff>476661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85EC74-35A4-7F58-B1B6-4CBD740E07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9" t="1073" r="1280" b="1338"/>
        <a:stretch>
          <a:fillRect/>
        </a:stretch>
      </xdr:blipFill>
      <xdr:spPr bwMode="auto">
        <a:xfrm>
          <a:off x="24596912" y="3272118"/>
          <a:ext cx="4720590" cy="503364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155111</xdr:colOff>
      <xdr:row>9</xdr:row>
      <xdr:rowOff>0</xdr:rowOff>
    </xdr:from>
    <xdr:to>
      <xdr:col>14</xdr:col>
      <xdr:colOff>36699</xdr:colOff>
      <xdr:row>24</xdr:row>
      <xdr:rowOff>112881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F6DFB-64E9-4962-8948-1013F44B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9062" y="240077"/>
          <a:ext cx="4450653" cy="290068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63</xdr:row>
      <xdr:rowOff>0</xdr:rowOff>
    </xdr:from>
    <xdr:to>
      <xdr:col>42</xdr:col>
      <xdr:colOff>76168</xdr:colOff>
      <xdr:row>111</xdr:row>
      <xdr:rowOff>64573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454091-0BDC-7F1F-6ACF-186654D69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9756" y="11981366"/>
          <a:ext cx="15861339" cy="9021434"/>
        </a:xfrm>
        <a:prstGeom prst="rect">
          <a:avLst/>
        </a:prstGeom>
      </xdr:spPr>
    </xdr:pic>
    <xdr:clientData/>
  </xdr:twoCellAnchor>
  <xdr:twoCellAnchor>
    <xdr:from>
      <xdr:col>8</xdr:col>
      <xdr:colOff>411794</xdr:colOff>
      <xdr:row>25</xdr:row>
      <xdr:rowOff>44768</xdr:rowOff>
    </xdr:from>
    <xdr:to>
      <xdr:col>18</xdr:col>
      <xdr:colOff>455543</xdr:colOff>
      <xdr:row>50</xdr:row>
      <xdr:rowOff>134439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A8B6C0-EAE7-4EDF-81B4-771CF7F58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488157</xdr:colOff>
      <xdr:row>53</xdr:row>
      <xdr:rowOff>119063</xdr:rowOff>
    </xdr:from>
    <xdr:to>
      <xdr:col>33</xdr:col>
      <xdr:colOff>246100</xdr:colOff>
      <xdr:row>74</xdr:row>
      <xdr:rowOff>59216</xdr:rowOff>
    </xdr:to>
    <xdr:pic>
      <xdr:nvPicPr>
        <xdr:cNvPr id="2" name="image32.png" descr="A graph of a graph&#10;&#10;AI-generated content may be incorrect.">
          <a:extLst>
            <a:ext uri="{FF2B5EF4-FFF2-40B4-BE49-F238E27FC236}">
              <a16:creationId xmlns:a16="http://schemas.microsoft.com/office/drawing/2014/main" id="{52BAB5C2-A711-41B9-86E4-4DE238D52F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071057" y="8447723"/>
          <a:ext cx="5907283" cy="3780633"/>
        </a:xfrm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 editAs="oneCell">
    <xdr:from>
      <xdr:col>45</xdr:col>
      <xdr:colOff>371475</xdr:colOff>
      <xdr:row>4</xdr:row>
      <xdr:rowOff>0</xdr:rowOff>
    </xdr:from>
    <xdr:to>
      <xdr:col>52</xdr:col>
      <xdr:colOff>588982</xdr:colOff>
      <xdr:row>16</xdr:row>
      <xdr:rowOff>60715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07DE4C-B244-40B0-98FC-F6B4E1A1C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70135" y="784860"/>
          <a:ext cx="4484707" cy="2834395"/>
        </a:xfrm>
        <a:prstGeom prst="rect">
          <a:avLst/>
        </a:prstGeom>
      </xdr:spPr>
    </xdr:pic>
    <xdr:clientData/>
  </xdr:twoCellAnchor>
  <xdr:twoCellAnchor>
    <xdr:from>
      <xdr:col>36</xdr:col>
      <xdr:colOff>127073</xdr:colOff>
      <xdr:row>63</xdr:row>
      <xdr:rowOff>177388</xdr:rowOff>
    </xdr:from>
    <xdr:to>
      <xdr:col>41</xdr:col>
      <xdr:colOff>672351</xdr:colOff>
      <xdr:row>90</xdr:row>
      <xdr:rowOff>2592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DF24E6-65E5-4FBC-9A5D-953BD7469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36</xdr:col>
      <xdr:colOff>1131794</xdr:colOff>
      <xdr:row>14</xdr:row>
      <xdr:rowOff>3810</xdr:rowOff>
    </xdr:from>
    <xdr:to>
      <xdr:col>41</xdr:col>
      <xdr:colOff>3475</xdr:colOff>
      <xdr:row>56</xdr:row>
      <xdr:rowOff>56159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24D132-4CDB-467E-B87F-1A377A58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36674" y="3181350"/>
          <a:ext cx="5561368" cy="5752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364190</xdr:colOff>
      <xdr:row>22</xdr:row>
      <xdr:rowOff>144891</xdr:rowOff>
    </xdr:from>
    <xdr:to>
      <xdr:col>52</xdr:col>
      <xdr:colOff>93344</xdr:colOff>
      <xdr:row>58</xdr:row>
      <xdr:rowOff>145675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973224-DC25-4559-828B-5AE3121C5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62AFB2-06E0-40CD-9CF7-D2F2A1E4B577}" name="Table16" displayName="Table16" ref="C10:C32" totalsRowShown="0" headerRowDxfId="25" dataDxfId="23" headerRowBorderDxfId="24" tableBorderDxfId="22" totalsRowBorderDxfId="21">
  <autoFilter ref="C10:C32" xr:uid="{8F41FC0A-453A-4D88-88E4-073870C59077}"/>
  <tableColumns count="1">
    <tableColumn id="1" xr3:uid="{888EF078-2474-4FAB-99ED-B1B301B4528B}" name="Column1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2AB461-950D-429F-A35F-0082BBBCBD5B}" name="Table37" displayName="Table37" ref="K35:K50" totalsRowShown="0">
  <autoFilter ref="K35:K50" xr:uid="{EE9F4C9A-36F5-4D27-998E-2A139F41F97D}"/>
  <tableColumns count="1">
    <tableColumn id="1" xr3:uid="{1A9CAEEA-FF5C-4CDD-9E65-FB8C136929A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62EF-B597-42DA-8BB8-35D5EB60D004}">
  <dimension ref="C9:Q68"/>
  <sheetViews>
    <sheetView showGridLines="0" zoomScale="80" workbookViewId="0">
      <selection activeCell="H38" sqref="H38"/>
    </sheetView>
  </sheetViews>
  <sheetFormatPr defaultRowHeight="14.4" x14ac:dyDescent="0.3"/>
  <cols>
    <col min="2" max="2" width="28.5546875" customWidth="1"/>
    <col min="3" max="3" width="25.109375" customWidth="1"/>
    <col min="7" max="7" width="11.88671875" customWidth="1"/>
    <col min="8" max="8" width="22.33203125" customWidth="1"/>
    <col min="11" max="11" width="28.6640625" customWidth="1"/>
  </cols>
  <sheetData>
    <row r="9" spans="3:9" x14ac:dyDescent="0.3">
      <c r="G9" s="1" t="s">
        <v>33</v>
      </c>
      <c r="H9" s="1" t="s">
        <v>55</v>
      </c>
      <c r="I9" s="1"/>
    </row>
    <row r="10" spans="3:9" x14ac:dyDescent="0.3">
      <c r="C10" s="3" t="s">
        <v>32</v>
      </c>
      <c r="G10" s="1" t="s">
        <v>34</v>
      </c>
      <c r="H10" s="1" t="s">
        <v>56</v>
      </c>
      <c r="I10" s="1"/>
    </row>
    <row r="11" spans="3:9" x14ac:dyDescent="0.3">
      <c r="C11" s="2" t="s">
        <v>10</v>
      </c>
      <c r="G11" s="1" t="s">
        <v>35</v>
      </c>
      <c r="H11" s="1" t="s">
        <v>57</v>
      </c>
      <c r="I11" s="1"/>
    </row>
    <row r="12" spans="3:9" x14ac:dyDescent="0.3">
      <c r="C12" s="2" t="s">
        <v>11</v>
      </c>
      <c r="G12" s="1" t="s">
        <v>36</v>
      </c>
      <c r="H12" s="1" t="s">
        <v>58</v>
      </c>
      <c r="I12" s="1"/>
    </row>
    <row r="13" spans="3:9" x14ac:dyDescent="0.3">
      <c r="C13" s="2" t="s">
        <v>12</v>
      </c>
      <c r="G13" s="1" t="s">
        <v>37</v>
      </c>
      <c r="H13" s="1" t="s">
        <v>59</v>
      </c>
      <c r="I13" s="1"/>
    </row>
    <row r="14" spans="3:9" x14ac:dyDescent="0.3">
      <c r="C14" s="2" t="s">
        <v>13</v>
      </c>
      <c r="G14" s="1" t="s">
        <v>38</v>
      </c>
      <c r="H14" s="1" t="s">
        <v>60</v>
      </c>
      <c r="I14" s="1"/>
    </row>
    <row r="15" spans="3:9" x14ac:dyDescent="0.3">
      <c r="C15" s="2" t="s">
        <v>14</v>
      </c>
      <c r="G15" s="1" t="s">
        <v>39</v>
      </c>
      <c r="H15" s="1" t="s">
        <v>61</v>
      </c>
      <c r="I15" s="1"/>
    </row>
    <row r="16" spans="3:9" x14ac:dyDescent="0.3">
      <c r="C16" s="2" t="s">
        <v>15</v>
      </c>
      <c r="G16" s="1" t="s">
        <v>40</v>
      </c>
      <c r="H16" s="1" t="s">
        <v>62</v>
      </c>
      <c r="I16" s="1"/>
    </row>
    <row r="17" spans="3:17" x14ac:dyDescent="0.3">
      <c r="C17" s="2" t="s">
        <v>16</v>
      </c>
      <c r="G17" s="1" t="s">
        <v>41</v>
      </c>
      <c r="H17" s="1" t="s">
        <v>63</v>
      </c>
      <c r="I17" s="1"/>
    </row>
    <row r="18" spans="3:17" x14ac:dyDescent="0.3">
      <c r="C18" s="2" t="s">
        <v>17</v>
      </c>
      <c r="G18" s="1" t="s">
        <v>42</v>
      </c>
      <c r="H18" s="1" t="s">
        <v>64</v>
      </c>
      <c r="I18" s="1"/>
    </row>
    <row r="19" spans="3:17" x14ac:dyDescent="0.3">
      <c r="C19" s="2" t="s">
        <v>18</v>
      </c>
      <c r="G19" s="1" t="s">
        <v>43</v>
      </c>
      <c r="H19" s="1" t="s">
        <v>65</v>
      </c>
      <c r="I19" s="1"/>
    </row>
    <row r="20" spans="3:17" x14ac:dyDescent="0.3">
      <c r="C20" s="2" t="s">
        <v>19</v>
      </c>
      <c r="G20" s="1" t="s">
        <v>44</v>
      </c>
      <c r="H20" s="1" t="s">
        <v>66</v>
      </c>
      <c r="I20" s="1"/>
      <c r="J20">
        <v>1</v>
      </c>
      <c r="K20" t="s">
        <v>88</v>
      </c>
      <c r="L20">
        <v>5.2</v>
      </c>
      <c r="M20">
        <v>4.5</v>
      </c>
      <c r="N20">
        <v>4.9000000000000004</v>
      </c>
      <c r="O20">
        <v>5</v>
      </c>
      <c r="P20" s="5">
        <f t="shared" ref="P20:P33" si="0">AVERAGE(L20:O20)</f>
        <v>4.9000000000000004</v>
      </c>
      <c r="Q20" s="6">
        <f>P20*10</f>
        <v>49</v>
      </c>
    </row>
    <row r="21" spans="3:17" x14ac:dyDescent="0.3">
      <c r="C21" s="2" t="s">
        <v>20</v>
      </c>
      <c r="G21" s="1" t="s">
        <v>45</v>
      </c>
      <c r="H21" s="1" t="s">
        <v>67</v>
      </c>
      <c r="I21" s="1"/>
      <c r="J21">
        <v>2</v>
      </c>
      <c r="K21" t="s">
        <v>89</v>
      </c>
      <c r="L21">
        <v>5.5</v>
      </c>
      <c r="M21">
        <v>5.8</v>
      </c>
      <c r="N21">
        <v>6.1</v>
      </c>
      <c r="O21">
        <v>6.3</v>
      </c>
      <c r="P21" s="5">
        <f t="shared" si="0"/>
        <v>5.9249999999999998</v>
      </c>
      <c r="Q21" s="6">
        <f t="shared" ref="Q21:Q33" si="1">P21*10</f>
        <v>59.25</v>
      </c>
    </row>
    <row r="22" spans="3:17" x14ac:dyDescent="0.3">
      <c r="C22" s="2" t="s">
        <v>21</v>
      </c>
      <c r="G22" s="1" t="s">
        <v>46</v>
      </c>
      <c r="H22" s="1" t="s">
        <v>68</v>
      </c>
      <c r="I22" s="1"/>
      <c r="J22">
        <v>3</v>
      </c>
      <c r="K22" t="s">
        <v>90</v>
      </c>
      <c r="L22">
        <v>6.5</v>
      </c>
      <c r="M22">
        <v>5.5</v>
      </c>
      <c r="N22">
        <v>6.7</v>
      </c>
      <c r="O22">
        <v>7</v>
      </c>
      <c r="P22" s="5">
        <f t="shared" si="0"/>
        <v>6.4249999999999998</v>
      </c>
      <c r="Q22" s="6">
        <f t="shared" si="1"/>
        <v>64.25</v>
      </c>
    </row>
    <row r="23" spans="3:17" x14ac:dyDescent="0.3">
      <c r="C23" s="2" t="s">
        <v>22</v>
      </c>
      <c r="G23" s="1" t="s">
        <v>47</v>
      </c>
      <c r="H23" s="1" t="s">
        <v>69</v>
      </c>
      <c r="I23" s="1"/>
      <c r="J23">
        <v>4</v>
      </c>
      <c r="K23" t="s">
        <v>77</v>
      </c>
      <c r="L23">
        <v>5</v>
      </c>
      <c r="M23">
        <v>4.8</v>
      </c>
      <c r="N23">
        <v>5</v>
      </c>
      <c r="O23">
        <v>5</v>
      </c>
      <c r="P23" s="5">
        <f t="shared" si="0"/>
        <v>4.95</v>
      </c>
      <c r="Q23" s="6">
        <f t="shared" si="1"/>
        <v>49.5</v>
      </c>
    </row>
    <row r="24" spans="3:17" x14ac:dyDescent="0.3">
      <c r="C24" s="2" t="s">
        <v>23</v>
      </c>
      <c r="G24" s="1" t="s">
        <v>48</v>
      </c>
      <c r="H24" s="1" t="s">
        <v>70</v>
      </c>
      <c r="I24" s="1"/>
      <c r="J24">
        <v>5</v>
      </c>
      <c r="K24" t="s">
        <v>78</v>
      </c>
      <c r="L24">
        <v>5</v>
      </c>
      <c r="M24">
        <v>4.7</v>
      </c>
      <c r="N24">
        <v>5.3</v>
      </c>
      <c r="O24">
        <v>5.2</v>
      </c>
      <c r="P24" s="5">
        <f t="shared" si="0"/>
        <v>5.05</v>
      </c>
      <c r="Q24" s="6">
        <f t="shared" si="1"/>
        <v>50.5</v>
      </c>
    </row>
    <row r="25" spans="3:17" x14ac:dyDescent="0.3">
      <c r="C25" s="2" t="s">
        <v>24</v>
      </c>
      <c r="G25" s="1" t="s">
        <v>49</v>
      </c>
      <c r="H25" s="1" t="s">
        <v>71</v>
      </c>
      <c r="I25" s="1"/>
      <c r="J25">
        <v>6</v>
      </c>
      <c r="K25" t="s">
        <v>79</v>
      </c>
      <c r="L25">
        <v>5</v>
      </c>
      <c r="M25">
        <v>5.8</v>
      </c>
      <c r="N25">
        <v>5.5</v>
      </c>
      <c r="O25">
        <v>5.7</v>
      </c>
      <c r="P25" s="5">
        <f t="shared" si="0"/>
        <v>5.5</v>
      </c>
      <c r="Q25" s="6">
        <f t="shared" si="1"/>
        <v>55</v>
      </c>
    </row>
    <row r="26" spans="3:17" x14ac:dyDescent="0.3">
      <c r="C26" s="2" t="s">
        <v>25</v>
      </c>
      <c r="G26" s="1" t="s">
        <v>50</v>
      </c>
      <c r="H26" s="1" t="s">
        <v>72</v>
      </c>
      <c r="I26" s="1"/>
      <c r="J26">
        <v>7</v>
      </c>
      <c r="K26" t="s">
        <v>80</v>
      </c>
      <c r="L26">
        <v>6</v>
      </c>
      <c r="M26">
        <v>5.6</v>
      </c>
      <c r="N26">
        <v>5.4</v>
      </c>
      <c r="O26">
        <v>5.8</v>
      </c>
      <c r="P26" s="5">
        <f t="shared" si="0"/>
        <v>5.7</v>
      </c>
      <c r="Q26" s="6">
        <f t="shared" si="1"/>
        <v>57</v>
      </c>
    </row>
    <row r="27" spans="3:17" x14ac:dyDescent="0.3">
      <c r="C27" s="2" t="s">
        <v>26</v>
      </c>
      <c r="G27" s="1" t="s">
        <v>51</v>
      </c>
      <c r="H27" s="1" t="s">
        <v>73</v>
      </c>
      <c r="I27" s="1"/>
      <c r="J27">
        <v>8</v>
      </c>
      <c r="K27" t="s">
        <v>81</v>
      </c>
      <c r="L27">
        <v>6.8</v>
      </c>
      <c r="M27">
        <v>7</v>
      </c>
      <c r="N27">
        <v>7.2</v>
      </c>
      <c r="O27">
        <v>7</v>
      </c>
      <c r="P27" s="5">
        <f t="shared" si="0"/>
        <v>7</v>
      </c>
      <c r="Q27" s="6">
        <f t="shared" si="1"/>
        <v>70</v>
      </c>
    </row>
    <row r="28" spans="3:17" x14ac:dyDescent="0.3">
      <c r="C28" s="2" t="s">
        <v>27</v>
      </c>
      <c r="G28" s="1" t="s">
        <v>52</v>
      </c>
      <c r="H28" s="1" t="s">
        <v>74</v>
      </c>
      <c r="I28" s="1"/>
      <c r="J28">
        <v>9</v>
      </c>
      <c r="K28" t="s">
        <v>82</v>
      </c>
      <c r="L28">
        <v>5.5</v>
      </c>
      <c r="M28">
        <v>6</v>
      </c>
      <c r="N28">
        <v>6.5</v>
      </c>
      <c r="O28">
        <v>6.8</v>
      </c>
      <c r="P28" s="5">
        <f t="shared" si="0"/>
        <v>6.2</v>
      </c>
      <c r="Q28" s="6">
        <f t="shared" si="1"/>
        <v>62</v>
      </c>
    </row>
    <row r="29" spans="3:17" x14ac:dyDescent="0.3">
      <c r="C29" s="2" t="s">
        <v>28</v>
      </c>
      <c r="G29" s="1" t="s">
        <v>53</v>
      </c>
      <c r="H29" s="1" t="s">
        <v>75</v>
      </c>
      <c r="I29" s="1"/>
      <c r="J29">
        <v>12</v>
      </c>
      <c r="K29" t="s">
        <v>83</v>
      </c>
      <c r="L29">
        <v>6.4</v>
      </c>
      <c r="M29">
        <v>6.3</v>
      </c>
      <c r="N29">
        <v>6.7</v>
      </c>
      <c r="O29">
        <v>6.5</v>
      </c>
      <c r="P29" s="5">
        <f t="shared" si="0"/>
        <v>6.4749999999999996</v>
      </c>
      <c r="Q29" s="6">
        <f t="shared" si="1"/>
        <v>64.75</v>
      </c>
    </row>
    <row r="30" spans="3:17" x14ac:dyDescent="0.3">
      <c r="C30" s="2" t="s">
        <v>29</v>
      </c>
      <c r="G30" s="1" t="s">
        <v>54</v>
      </c>
      <c r="H30" s="1" t="s">
        <v>76</v>
      </c>
      <c r="I30" s="1"/>
      <c r="J30">
        <v>16</v>
      </c>
      <c r="K30" t="s">
        <v>84</v>
      </c>
      <c r="L30">
        <v>7</v>
      </c>
      <c r="M30">
        <v>6.5</v>
      </c>
      <c r="N30">
        <v>6.2</v>
      </c>
      <c r="O30">
        <v>6.6</v>
      </c>
      <c r="P30" s="5">
        <f t="shared" si="0"/>
        <v>6.5749999999999993</v>
      </c>
      <c r="Q30" s="6">
        <f t="shared" si="1"/>
        <v>65.75</v>
      </c>
    </row>
    <row r="31" spans="3:17" x14ac:dyDescent="0.3">
      <c r="C31" s="2" t="s">
        <v>30</v>
      </c>
      <c r="G31" s="1" t="s">
        <v>174</v>
      </c>
      <c r="H31" s="160" t="s">
        <v>178</v>
      </c>
      <c r="I31" s="1"/>
      <c r="J31">
        <v>19</v>
      </c>
      <c r="K31" t="s">
        <v>87</v>
      </c>
      <c r="L31">
        <v>5.2</v>
      </c>
      <c r="M31">
        <v>5.3</v>
      </c>
      <c r="N31">
        <v>5</v>
      </c>
      <c r="O31">
        <v>5</v>
      </c>
      <c r="P31" s="5">
        <f t="shared" si="0"/>
        <v>5.125</v>
      </c>
      <c r="Q31" s="6">
        <f t="shared" si="1"/>
        <v>51.25</v>
      </c>
    </row>
    <row r="32" spans="3:17" x14ac:dyDescent="0.3">
      <c r="C32" s="4" t="s">
        <v>31</v>
      </c>
      <c r="G32" s="1" t="s">
        <v>175</v>
      </c>
      <c r="H32" s="1" t="s">
        <v>180</v>
      </c>
      <c r="I32" s="1"/>
      <c r="J32">
        <v>21</v>
      </c>
      <c r="K32" t="s">
        <v>85</v>
      </c>
      <c r="L32">
        <v>4</v>
      </c>
      <c r="M32">
        <v>4.2</v>
      </c>
      <c r="N32">
        <v>4.7</v>
      </c>
      <c r="O32">
        <v>4.2</v>
      </c>
      <c r="P32" s="5">
        <f t="shared" si="0"/>
        <v>4.2749999999999995</v>
      </c>
      <c r="Q32" s="6">
        <f t="shared" si="1"/>
        <v>42.749999999999993</v>
      </c>
    </row>
    <row r="33" spans="7:17" x14ac:dyDescent="0.3">
      <c r="G33" s="1" t="s">
        <v>176</v>
      </c>
      <c r="H33" s="1" t="s">
        <v>181</v>
      </c>
      <c r="I33" s="1"/>
      <c r="J33">
        <v>22</v>
      </c>
      <c r="K33" t="s">
        <v>86</v>
      </c>
      <c r="L33">
        <v>4.5</v>
      </c>
      <c r="M33">
        <v>4.3</v>
      </c>
      <c r="N33">
        <v>4.4000000000000004</v>
      </c>
      <c r="O33">
        <v>4.4000000000000004</v>
      </c>
      <c r="P33" s="5">
        <f t="shared" si="0"/>
        <v>4.4000000000000004</v>
      </c>
      <c r="Q33" s="6">
        <f t="shared" si="1"/>
        <v>44</v>
      </c>
    </row>
    <row r="34" spans="7:17" x14ac:dyDescent="0.3">
      <c r="G34" s="1" t="s">
        <v>177</v>
      </c>
      <c r="H34" s="1" t="s">
        <v>179</v>
      </c>
      <c r="I34" s="1"/>
    </row>
    <row r="35" spans="7:17" x14ac:dyDescent="0.3">
      <c r="G35" s="1" t="s">
        <v>114</v>
      </c>
      <c r="H35" s="1" t="s">
        <v>182</v>
      </c>
      <c r="I35" s="1"/>
      <c r="K35" t="s">
        <v>32</v>
      </c>
      <c r="L35">
        <v>5</v>
      </c>
      <c r="M35">
        <v>4.8</v>
      </c>
      <c r="N35">
        <v>5</v>
      </c>
      <c r="O35">
        <v>5</v>
      </c>
      <c r="P35" s="5">
        <f t="shared" ref="P35:P49" si="2">AVERAGE(L35:O35)</f>
        <v>4.95</v>
      </c>
      <c r="Q35" s="6">
        <f>P35*10</f>
        <v>49.5</v>
      </c>
    </row>
    <row r="36" spans="7:17" x14ac:dyDescent="0.3">
      <c r="K36" t="s">
        <v>77</v>
      </c>
      <c r="L36">
        <v>5</v>
      </c>
      <c r="M36">
        <v>4.7</v>
      </c>
      <c r="N36">
        <v>5.3</v>
      </c>
      <c r="O36">
        <v>5.2</v>
      </c>
      <c r="P36" s="5">
        <f t="shared" si="2"/>
        <v>5.05</v>
      </c>
      <c r="Q36" s="6">
        <f t="shared" ref="Q36:Q49" si="3">P36*10</f>
        <v>50.5</v>
      </c>
    </row>
    <row r="37" spans="7:17" x14ac:dyDescent="0.3">
      <c r="K37" t="s">
        <v>78</v>
      </c>
      <c r="L37">
        <v>5</v>
      </c>
      <c r="M37">
        <v>5.8</v>
      </c>
      <c r="N37">
        <v>5.5</v>
      </c>
      <c r="O37">
        <v>5.7</v>
      </c>
      <c r="P37" s="5">
        <f t="shared" si="2"/>
        <v>5.5</v>
      </c>
      <c r="Q37" s="6">
        <f t="shared" si="3"/>
        <v>55</v>
      </c>
    </row>
    <row r="38" spans="7:17" x14ac:dyDescent="0.3">
      <c r="K38" t="s">
        <v>79</v>
      </c>
      <c r="L38">
        <v>6</v>
      </c>
      <c r="M38">
        <v>5.6</v>
      </c>
      <c r="N38">
        <v>5.4</v>
      </c>
      <c r="O38">
        <v>5.8</v>
      </c>
      <c r="P38" s="5">
        <f t="shared" si="2"/>
        <v>5.7</v>
      </c>
      <c r="Q38" s="6">
        <f t="shared" si="3"/>
        <v>57</v>
      </c>
    </row>
    <row r="39" spans="7:17" x14ac:dyDescent="0.3">
      <c r="K39" t="s">
        <v>80</v>
      </c>
      <c r="L39">
        <v>6.8</v>
      </c>
      <c r="M39">
        <v>7</v>
      </c>
      <c r="N39">
        <v>7.2</v>
      </c>
      <c r="O39">
        <v>7</v>
      </c>
      <c r="P39" s="5">
        <f t="shared" si="2"/>
        <v>7</v>
      </c>
      <c r="Q39" s="6">
        <f t="shared" si="3"/>
        <v>70</v>
      </c>
    </row>
    <row r="40" spans="7:17" x14ac:dyDescent="0.3">
      <c r="K40" t="s">
        <v>81</v>
      </c>
      <c r="L40">
        <v>5.5</v>
      </c>
      <c r="M40">
        <v>6</v>
      </c>
      <c r="N40">
        <v>6.5</v>
      </c>
      <c r="O40">
        <v>6.8</v>
      </c>
      <c r="P40" s="5">
        <f t="shared" si="2"/>
        <v>6.2</v>
      </c>
      <c r="Q40" s="6">
        <f t="shared" si="3"/>
        <v>62</v>
      </c>
    </row>
    <row r="41" spans="7:17" x14ac:dyDescent="0.3">
      <c r="K41" t="s">
        <v>82</v>
      </c>
      <c r="L41">
        <v>6.4</v>
      </c>
      <c r="M41">
        <v>6.3</v>
      </c>
      <c r="N41">
        <v>6.7</v>
      </c>
      <c r="O41">
        <v>6.5</v>
      </c>
      <c r="P41" s="5">
        <f t="shared" si="2"/>
        <v>6.4749999999999996</v>
      </c>
      <c r="Q41" s="6">
        <f t="shared" si="3"/>
        <v>64.75</v>
      </c>
    </row>
    <row r="42" spans="7:17" x14ac:dyDescent="0.3">
      <c r="K42" t="s">
        <v>83</v>
      </c>
      <c r="L42">
        <v>7</v>
      </c>
      <c r="M42">
        <v>6.5</v>
      </c>
      <c r="N42">
        <v>6.2</v>
      </c>
      <c r="O42">
        <v>6.6</v>
      </c>
      <c r="P42" s="5">
        <f t="shared" si="2"/>
        <v>6.5749999999999993</v>
      </c>
      <c r="Q42" s="6">
        <f t="shared" si="3"/>
        <v>65.75</v>
      </c>
    </row>
    <row r="43" spans="7:17" x14ac:dyDescent="0.3">
      <c r="K43" t="s">
        <v>84</v>
      </c>
      <c r="L43">
        <v>4</v>
      </c>
      <c r="M43">
        <v>4.2</v>
      </c>
      <c r="N43">
        <v>4.7</v>
      </c>
      <c r="O43">
        <v>4.2</v>
      </c>
      <c r="P43" s="5">
        <f t="shared" si="2"/>
        <v>4.2749999999999995</v>
      </c>
      <c r="Q43" s="6">
        <f t="shared" si="3"/>
        <v>42.749999999999993</v>
      </c>
    </row>
    <row r="44" spans="7:17" x14ac:dyDescent="0.3">
      <c r="K44" t="s">
        <v>85</v>
      </c>
      <c r="L44">
        <v>4.5</v>
      </c>
      <c r="M44">
        <v>4.3</v>
      </c>
      <c r="N44">
        <v>4.4000000000000004</v>
      </c>
      <c r="O44">
        <v>4.4000000000000004</v>
      </c>
      <c r="P44" s="5">
        <f t="shared" si="2"/>
        <v>4.4000000000000004</v>
      </c>
      <c r="Q44" s="6">
        <f t="shared" si="3"/>
        <v>44</v>
      </c>
    </row>
    <row r="45" spans="7:17" x14ac:dyDescent="0.3">
      <c r="K45" t="s">
        <v>86</v>
      </c>
      <c r="L45">
        <v>5.2</v>
      </c>
      <c r="M45">
        <v>5.3</v>
      </c>
      <c r="N45">
        <v>5</v>
      </c>
      <c r="O45">
        <v>5</v>
      </c>
      <c r="P45" s="5">
        <f t="shared" si="2"/>
        <v>5.125</v>
      </c>
      <c r="Q45" s="6">
        <f t="shared" si="3"/>
        <v>51.25</v>
      </c>
    </row>
    <row r="46" spans="7:17" x14ac:dyDescent="0.3">
      <c r="K46" t="s">
        <v>87</v>
      </c>
      <c r="L46">
        <v>5.3</v>
      </c>
      <c r="M46">
        <v>5.4</v>
      </c>
      <c r="N46">
        <v>5.3</v>
      </c>
      <c r="O46">
        <v>5.0999999999999996</v>
      </c>
      <c r="P46" s="5">
        <f t="shared" si="2"/>
        <v>5.2750000000000004</v>
      </c>
      <c r="Q46" s="6">
        <f t="shared" si="3"/>
        <v>52.75</v>
      </c>
    </row>
    <row r="47" spans="7:17" x14ac:dyDescent="0.3">
      <c r="K47" t="s">
        <v>91</v>
      </c>
      <c r="L47">
        <v>5.2</v>
      </c>
      <c r="M47">
        <v>4.5</v>
      </c>
      <c r="N47">
        <v>4.9000000000000004</v>
      </c>
      <c r="O47">
        <v>5</v>
      </c>
      <c r="P47" s="5">
        <f t="shared" si="2"/>
        <v>4.9000000000000004</v>
      </c>
      <c r="Q47" s="6">
        <f t="shared" si="3"/>
        <v>49</v>
      </c>
    </row>
    <row r="48" spans="7:17" x14ac:dyDescent="0.3">
      <c r="K48" t="s">
        <v>88</v>
      </c>
      <c r="L48">
        <v>5.5</v>
      </c>
      <c r="M48">
        <v>5.8</v>
      </c>
      <c r="N48">
        <v>6.1</v>
      </c>
      <c r="O48">
        <v>6.3</v>
      </c>
      <c r="P48" s="5">
        <f t="shared" si="2"/>
        <v>5.9249999999999998</v>
      </c>
      <c r="Q48" s="6">
        <f t="shared" si="3"/>
        <v>59.25</v>
      </c>
    </row>
    <row r="49" spans="10:17" x14ac:dyDescent="0.3">
      <c r="K49" t="s">
        <v>89</v>
      </c>
      <c r="L49">
        <v>6.5</v>
      </c>
      <c r="M49">
        <v>5.5</v>
      </c>
      <c r="N49">
        <v>6.7</v>
      </c>
      <c r="O49">
        <v>7</v>
      </c>
      <c r="P49" s="5">
        <f t="shared" si="2"/>
        <v>6.4249999999999998</v>
      </c>
      <c r="Q49" s="6">
        <f t="shared" si="3"/>
        <v>64.25</v>
      </c>
    </row>
    <row r="50" spans="10:17" x14ac:dyDescent="0.3">
      <c r="K50" t="s">
        <v>90</v>
      </c>
    </row>
    <row r="54" spans="10:17" x14ac:dyDescent="0.3">
      <c r="J54" t="s">
        <v>100</v>
      </c>
      <c r="K54" t="s">
        <v>75</v>
      </c>
      <c r="L54">
        <v>4</v>
      </c>
      <c r="M54">
        <v>4.2</v>
      </c>
      <c r="N54">
        <v>4.7</v>
      </c>
      <c r="O54">
        <v>4.2</v>
      </c>
      <c r="P54" s="5">
        <f t="shared" ref="P54:P68" si="4">AVERAGE(L54:O54)</f>
        <v>4.2749999999999995</v>
      </c>
      <c r="Q54" s="6">
        <f t="shared" ref="Q54:Q68" si="5">P54*10</f>
        <v>42.749999999999993</v>
      </c>
    </row>
    <row r="55" spans="10:17" x14ac:dyDescent="0.3">
      <c r="J55" t="s">
        <v>101</v>
      </c>
      <c r="K55" t="s">
        <v>107</v>
      </c>
      <c r="L55">
        <v>4.5</v>
      </c>
      <c r="M55">
        <v>4.3</v>
      </c>
      <c r="N55">
        <v>4.4000000000000004</v>
      </c>
      <c r="O55">
        <v>4.4000000000000004</v>
      </c>
      <c r="P55" s="5">
        <f t="shared" si="4"/>
        <v>4.4000000000000004</v>
      </c>
      <c r="Q55" s="6">
        <f t="shared" si="5"/>
        <v>44</v>
      </c>
    </row>
    <row r="56" spans="10:17" x14ac:dyDescent="0.3">
      <c r="J56" t="s">
        <v>104</v>
      </c>
      <c r="K56" t="s">
        <v>109</v>
      </c>
      <c r="L56">
        <v>5.2</v>
      </c>
      <c r="M56">
        <v>4.5</v>
      </c>
      <c r="N56">
        <v>4.9000000000000004</v>
      </c>
      <c r="O56">
        <v>5</v>
      </c>
      <c r="P56" s="5">
        <f t="shared" si="4"/>
        <v>4.9000000000000004</v>
      </c>
      <c r="Q56" s="6">
        <f t="shared" si="5"/>
        <v>49</v>
      </c>
    </row>
    <row r="57" spans="10:17" x14ac:dyDescent="0.3">
      <c r="J57" t="s">
        <v>92</v>
      </c>
      <c r="K57" t="s">
        <v>58</v>
      </c>
      <c r="L57">
        <v>5</v>
      </c>
      <c r="M57">
        <v>4.8</v>
      </c>
      <c r="N57">
        <v>5</v>
      </c>
      <c r="O57">
        <v>5</v>
      </c>
      <c r="P57" s="5">
        <f t="shared" si="4"/>
        <v>4.95</v>
      </c>
      <c r="Q57" s="6">
        <f t="shared" si="5"/>
        <v>49.5</v>
      </c>
    </row>
    <row r="58" spans="10:17" x14ac:dyDescent="0.3">
      <c r="J58" t="s">
        <v>93</v>
      </c>
      <c r="K58" t="s">
        <v>59</v>
      </c>
      <c r="L58">
        <v>5</v>
      </c>
      <c r="M58">
        <v>4.7</v>
      </c>
      <c r="N58">
        <v>5.3</v>
      </c>
      <c r="O58">
        <v>5.2</v>
      </c>
      <c r="P58" s="5">
        <f t="shared" si="4"/>
        <v>5.05</v>
      </c>
      <c r="Q58" s="6">
        <f t="shared" si="5"/>
        <v>50.5</v>
      </c>
    </row>
    <row r="59" spans="10:17" x14ac:dyDescent="0.3">
      <c r="J59" t="s">
        <v>102</v>
      </c>
      <c r="K59" t="s">
        <v>73</v>
      </c>
      <c r="L59">
        <v>5.2</v>
      </c>
      <c r="M59">
        <v>5.3</v>
      </c>
      <c r="N59">
        <v>5</v>
      </c>
      <c r="O59">
        <v>5</v>
      </c>
      <c r="P59" s="5">
        <f t="shared" si="4"/>
        <v>5.125</v>
      </c>
      <c r="Q59" s="6">
        <f t="shared" si="5"/>
        <v>51.25</v>
      </c>
    </row>
    <row r="60" spans="10:17" x14ac:dyDescent="0.3">
      <c r="J60" t="s">
        <v>103</v>
      </c>
      <c r="K60" t="s">
        <v>108</v>
      </c>
      <c r="L60">
        <v>5.3</v>
      </c>
      <c r="M60">
        <v>5.4</v>
      </c>
      <c r="N60">
        <v>5.3</v>
      </c>
      <c r="O60">
        <v>5.0999999999999996</v>
      </c>
      <c r="P60" s="5">
        <f t="shared" si="4"/>
        <v>5.2750000000000004</v>
      </c>
      <c r="Q60" s="6">
        <f t="shared" si="5"/>
        <v>52.75</v>
      </c>
    </row>
    <row r="61" spans="10:17" x14ac:dyDescent="0.3">
      <c r="J61" t="s">
        <v>94</v>
      </c>
      <c r="K61" t="s">
        <v>60</v>
      </c>
      <c r="L61">
        <v>5</v>
      </c>
      <c r="M61">
        <v>5.8</v>
      </c>
      <c r="N61">
        <v>5.5</v>
      </c>
      <c r="O61">
        <v>5.7</v>
      </c>
      <c r="P61" s="5">
        <f t="shared" si="4"/>
        <v>5.5</v>
      </c>
      <c r="Q61" s="6">
        <f t="shared" si="5"/>
        <v>55</v>
      </c>
    </row>
    <row r="62" spans="10:17" x14ac:dyDescent="0.3">
      <c r="J62" t="s">
        <v>95</v>
      </c>
      <c r="K62" t="s">
        <v>61</v>
      </c>
      <c r="L62">
        <v>6</v>
      </c>
      <c r="M62">
        <v>5.6</v>
      </c>
      <c r="N62">
        <v>5.4</v>
      </c>
      <c r="O62">
        <v>5.8</v>
      </c>
      <c r="P62" s="5">
        <f t="shared" si="4"/>
        <v>5.7</v>
      </c>
      <c r="Q62" s="6">
        <f t="shared" si="5"/>
        <v>57</v>
      </c>
    </row>
    <row r="63" spans="10:17" x14ac:dyDescent="0.3">
      <c r="J63" t="s">
        <v>105</v>
      </c>
      <c r="K63" t="s">
        <v>56</v>
      </c>
      <c r="L63">
        <v>5.5</v>
      </c>
      <c r="M63">
        <v>5.8</v>
      </c>
      <c r="N63">
        <v>6.1</v>
      </c>
      <c r="O63">
        <v>6.3</v>
      </c>
      <c r="P63" s="5">
        <f t="shared" si="4"/>
        <v>5.9249999999999998</v>
      </c>
      <c r="Q63" s="6">
        <f t="shared" si="5"/>
        <v>59.25</v>
      </c>
    </row>
    <row r="64" spans="10:17" x14ac:dyDescent="0.3">
      <c r="J64" t="s">
        <v>97</v>
      </c>
      <c r="K64" t="s">
        <v>63</v>
      </c>
      <c r="L64">
        <v>5.5</v>
      </c>
      <c r="M64">
        <v>6</v>
      </c>
      <c r="N64">
        <v>6.5</v>
      </c>
      <c r="O64">
        <v>6.8</v>
      </c>
      <c r="P64" s="5">
        <f t="shared" si="4"/>
        <v>6.2</v>
      </c>
      <c r="Q64" s="6">
        <f t="shared" si="5"/>
        <v>62</v>
      </c>
    </row>
    <row r="65" spans="10:17" x14ac:dyDescent="0.3">
      <c r="J65" t="s">
        <v>106</v>
      </c>
      <c r="K65" t="s">
        <v>57</v>
      </c>
      <c r="L65">
        <v>6.5</v>
      </c>
      <c r="M65">
        <v>5.5</v>
      </c>
      <c r="N65">
        <v>6.7</v>
      </c>
      <c r="O65">
        <v>7</v>
      </c>
      <c r="P65" s="5">
        <f t="shared" si="4"/>
        <v>6.4249999999999998</v>
      </c>
      <c r="Q65" s="6">
        <f t="shared" si="5"/>
        <v>64.25</v>
      </c>
    </row>
    <row r="66" spans="10:17" x14ac:dyDescent="0.3">
      <c r="J66" t="s">
        <v>98</v>
      </c>
      <c r="K66" t="s">
        <v>66</v>
      </c>
      <c r="L66">
        <v>6.4</v>
      </c>
      <c r="M66">
        <v>6.3</v>
      </c>
      <c r="N66">
        <v>6.7</v>
      </c>
      <c r="O66">
        <v>6.5</v>
      </c>
      <c r="P66" s="5">
        <f t="shared" si="4"/>
        <v>6.4749999999999996</v>
      </c>
      <c r="Q66" s="6">
        <f t="shared" si="5"/>
        <v>64.75</v>
      </c>
    </row>
    <row r="67" spans="10:17" x14ac:dyDescent="0.3">
      <c r="J67" t="s">
        <v>99</v>
      </c>
      <c r="K67" t="s">
        <v>70</v>
      </c>
      <c r="L67">
        <v>7</v>
      </c>
      <c r="M67">
        <v>6.5</v>
      </c>
      <c r="N67">
        <v>6.2</v>
      </c>
      <c r="O67">
        <v>6.6</v>
      </c>
      <c r="P67" s="5">
        <f t="shared" si="4"/>
        <v>6.5749999999999993</v>
      </c>
      <c r="Q67" s="6">
        <f t="shared" si="5"/>
        <v>65.75</v>
      </c>
    </row>
    <row r="68" spans="10:17" x14ac:dyDescent="0.3">
      <c r="J68" t="s">
        <v>96</v>
      </c>
      <c r="K68" t="s">
        <v>62</v>
      </c>
      <c r="L68">
        <v>6.8</v>
      </c>
      <c r="M68">
        <v>7</v>
      </c>
      <c r="N68">
        <v>7.2</v>
      </c>
      <c r="O68">
        <v>7</v>
      </c>
      <c r="P68" s="5">
        <f t="shared" si="4"/>
        <v>7</v>
      </c>
      <c r="Q68" s="6">
        <f t="shared" si="5"/>
        <v>70</v>
      </c>
    </row>
  </sheetData>
  <phoneticPr fontId="15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CA75-9701-4EAD-A7A6-7AE59AF6BCED}">
  <sheetPr>
    <pageSetUpPr fitToPage="1"/>
  </sheetPr>
  <dimension ref="D1:BE54"/>
  <sheetViews>
    <sheetView tabSelected="1" topLeftCell="AB18" zoomScale="85" zoomScaleNormal="85" workbookViewId="0">
      <selection activeCell="AK44" sqref="AK44"/>
    </sheetView>
  </sheetViews>
  <sheetFormatPr defaultRowHeight="14.4" x14ac:dyDescent="0.3"/>
  <cols>
    <col min="1" max="1" width="12.109375" customWidth="1"/>
    <col min="2" max="2" width="26.6640625" customWidth="1"/>
    <col min="3" max="3" width="11.5546875" customWidth="1"/>
    <col min="4" max="4" width="28.5546875" customWidth="1"/>
    <col min="5" max="20" width="4.88671875" customWidth="1"/>
    <col min="21" max="21" width="7.6640625" customWidth="1"/>
    <col min="22" max="23" width="11.5546875" customWidth="1"/>
    <col min="24" max="24" width="7.109375" customWidth="1"/>
    <col min="25" max="25" width="11.6640625" customWidth="1"/>
    <col min="26" max="26" width="11.5546875" customWidth="1"/>
    <col min="28" max="28" width="17.33203125" customWidth="1"/>
    <col min="29" max="29" width="29.6640625" bestFit="1" customWidth="1"/>
    <col min="30" max="30" width="9.5546875" customWidth="1"/>
    <col min="31" max="31" width="10.88671875" customWidth="1"/>
    <col min="32" max="32" width="12.109375" customWidth="1"/>
    <col min="33" max="33" width="10.6640625" customWidth="1"/>
    <col min="34" max="34" width="13.6640625" customWidth="1"/>
    <col min="35" max="35" width="9.6640625" customWidth="1"/>
    <col min="36" max="36" width="10.5546875" customWidth="1"/>
    <col min="37" max="37" width="11" customWidth="1"/>
    <col min="38" max="38" width="15.44140625" customWidth="1"/>
    <col min="39" max="39" width="23.5546875" customWidth="1"/>
    <col min="40" max="40" width="10.109375" customWidth="1"/>
    <col min="41" max="41" width="29.88671875" customWidth="1"/>
    <col min="42" max="42" width="17.6640625" customWidth="1"/>
    <col min="43" max="43" width="25" customWidth="1"/>
    <col min="44" max="44" width="16.6640625" customWidth="1"/>
    <col min="45" max="45" width="14.6640625" bestFit="1" customWidth="1"/>
    <col min="56" max="56" width="22.44140625" bestFit="1" customWidth="1"/>
    <col min="57" max="57" width="12.33203125" bestFit="1" customWidth="1"/>
  </cols>
  <sheetData>
    <row r="1" spans="4:45" ht="15" thickBot="1" x14ac:dyDescent="0.35"/>
    <row r="2" spans="4:45" ht="15" thickBot="1" x14ac:dyDescent="0.35">
      <c r="AJ2" s="149" t="s">
        <v>172</v>
      </c>
      <c r="AK2" s="150">
        <v>1</v>
      </c>
    </row>
    <row r="3" spans="4:45" ht="15" thickBot="1" x14ac:dyDescent="0.35">
      <c r="AI3" t="s">
        <v>158</v>
      </c>
      <c r="AP3" cm="1">
        <f t="array" ref="AP3:AS3">CHOOSE({1,2,3,4},AH6^3,AH6^2,AH6,1)</f>
        <v>19702.656065758471</v>
      </c>
      <c r="AQ3">
        <v>729.48525421436011</v>
      </c>
      <c r="AR3">
        <v>27.008984694252394</v>
      </c>
      <c r="AS3">
        <v>1</v>
      </c>
    </row>
    <row r="4" spans="4:45" ht="16.95" customHeight="1" thickBot="1" x14ac:dyDescent="0.35">
      <c r="D4" s="239" t="s">
        <v>0</v>
      </c>
      <c r="E4" s="241" t="s">
        <v>110</v>
      </c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3"/>
      <c r="U4" s="241" t="s">
        <v>1</v>
      </c>
      <c r="V4" s="242"/>
      <c r="W4" s="243"/>
      <c r="X4" s="241" t="s">
        <v>2</v>
      </c>
      <c r="Y4" s="242"/>
      <c r="Z4" s="243"/>
      <c r="AB4" s="246" t="s">
        <v>111</v>
      </c>
      <c r="AC4" s="247" t="str">
        <f>D4</f>
        <v>Área de Ensaio</v>
      </c>
      <c r="AD4" s="249" t="s">
        <v>154</v>
      </c>
      <c r="AE4" s="249" t="s">
        <v>144</v>
      </c>
      <c r="AF4" s="251" t="s">
        <v>264</v>
      </c>
      <c r="AG4" s="249" t="s">
        <v>139</v>
      </c>
      <c r="AH4" s="249" t="s">
        <v>261</v>
      </c>
      <c r="AI4" s="249" t="s">
        <v>262</v>
      </c>
      <c r="AJ4" s="244" t="s">
        <v>263</v>
      </c>
      <c r="AK4" s="255" t="s">
        <v>173</v>
      </c>
      <c r="AP4" s="118">
        <f>$AH$6^3</f>
        <v>19702.656065758471</v>
      </c>
      <c r="AQ4" s="118">
        <f>$AH$6^2</f>
        <v>729.48525421436011</v>
      </c>
      <c r="AR4" s="118">
        <f>$AH$6^1</f>
        <v>27.008984694252394</v>
      </c>
      <c r="AS4" s="118">
        <v>1</v>
      </c>
    </row>
    <row r="5" spans="4:45" ht="53.4" customHeight="1" thickBot="1" x14ac:dyDescent="0.35">
      <c r="D5" s="240"/>
      <c r="E5" s="57">
        <v>1</v>
      </c>
      <c r="F5" s="58">
        <v>2</v>
      </c>
      <c r="G5" s="58">
        <v>3</v>
      </c>
      <c r="H5" s="58">
        <v>4</v>
      </c>
      <c r="I5" s="58">
        <v>5</v>
      </c>
      <c r="J5" s="58">
        <v>6</v>
      </c>
      <c r="K5" s="58">
        <v>7</v>
      </c>
      <c r="L5" s="58">
        <v>8</v>
      </c>
      <c r="M5" s="58">
        <v>9</v>
      </c>
      <c r="N5" s="58">
        <v>10</v>
      </c>
      <c r="O5" s="58">
        <v>11</v>
      </c>
      <c r="P5" s="58">
        <v>12</v>
      </c>
      <c r="Q5" s="58">
        <v>13</v>
      </c>
      <c r="R5" s="58">
        <v>14</v>
      </c>
      <c r="S5" s="58">
        <v>15</v>
      </c>
      <c r="T5" s="59">
        <v>16</v>
      </c>
      <c r="U5" s="15" t="s">
        <v>3</v>
      </c>
      <c r="V5" s="16" t="s">
        <v>4</v>
      </c>
      <c r="W5" s="17" t="s">
        <v>5</v>
      </c>
      <c r="X5" s="15" t="s">
        <v>6</v>
      </c>
      <c r="Y5" s="16" t="s">
        <v>4</v>
      </c>
      <c r="Z5" s="17" t="s">
        <v>5</v>
      </c>
      <c r="AB5" s="246"/>
      <c r="AC5" s="248"/>
      <c r="AD5" s="250"/>
      <c r="AE5" s="250"/>
      <c r="AF5" s="252"/>
      <c r="AG5" s="250"/>
      <c r="AH5" s="250"/>
      <c r="AI5" s="250"/>
      <c r="AJ5" s="245"/>
      <c r="AK5" s="255"/>
      <c r="AM5" t="s">
        <v>166</v>
      </c>
      <c r="AQ5" s="89" t="s">
        <v>134</v>
      </c>
      <c r="AR5" s="86" t="s">
        <v>229</v>
      </c>
      <c r="AS5" s="86" t="s">
        <v>230</v>
      </c>
    </row>
    <row r="6" spans="4:45" ht="15" customHeight="1" x14ac:dyDescent="0.3">
      <c r="D6" s="48" t="s">
        <v>10</v>
      </c>
      <c r="E6" s="61">
        <v>30</v>
      </c>
      <c r="F6" s="62">
        <v>32</v>
      </c>
      <c r="G6" s="62">
        <v>32</v>
      </c>
      <c r="H6" s="62">
        <v>33</v>
      </c>
      <c r="I6" s="62">
        <v>34</v>
      </c>
      <c r="J6" s="62">
        <v>34</v>
      </c>
      <c r="K6" s="62">
        <v>35</v>
      </c>
      <c r="L6" s="62">
        <v>36</v>
      </c>
      <c r="M6" s="62">
        <v>36</v>
      </c>
      <c r="N6" s="62">
        <v>36</v>
      </c>
      <c r="O6" s="62">
        <v>36</v>
      </c>
      <c r="P6" s="62">
        <v>36</v>
      </c>
      <c r="Q6" s="62">
        <v>36</v>
      </c>
      <c r="R6" s="62">
        <v>37</v>
      </c>
      <c r="S6" s="62">
        <v>37</v>
      </c>
      <c r="T6" s="63">
        <v>37</v>
      </c>
      <c r="U6" s="54">
        <f t="shared" ref="U6:U27" si="0">AVERAGE(E6:T6)</f>
        <v>34.8125</v>
      </c>
      <c r="V6" s="13">
        <f t="shared" ref="V6:V27" si="1">U6*0.9</f>
        <v>31.331250000000001</v>
      </c>
      <c r="W6" s="36">
        <f t="shared" ref="W6:W27" si="2">U6*1.1</f>
        <v>38.293750000000003</v>
      </c>
      <c r="X6" s="14">
        <f t="shared" ref="X6:X27" si="3">AVERAGEIFS(E6:T6,E6:T6,"&gt;"&amp;V6, E6:T6, "&lt;"&amp;W6)</f>
        <v>35.133333333333333</v>
      </c>
      <c r="Y6" s="39">
        <f t="shared" ref="Y6:Y27" si="4">X6*0.9</f>
        <v>31.62</v>
      </c>
      <c r="Z6" s="42">
        <f t="shared" ref="Z6:Z27" si="5">X6*1.1</f>
        <v>38.646666666666668</v>
      </c>
      <c r="AB6" s="81">
        <v>49</v>
      </c>
      <c r="AC6" s="108" t="str">
        <f t="shared" ref="AC6:AC32" si="6">D6</f>
        <v>ES-01 (túnel de descarga-PT05)</v>
      </c>
      <c r="AD6" s="26">
        <v>0</v>
      </c>
      <c r="AE6" s="28">
        <f>X6</f>
        <v>35.133333333333333</v>
      </c>
      <c r="AF6" s="219">
        <f t="shared" ref="AF6:AF20" si="7">$AR$20</f>
        <v>0.98039215686274506</v>
      </c>
      <c r="AG6" s="28">
        <f>AE6*AF6</f>
        <v>34.444444444444443</v>
      </c>
      <c r="AH6" s="168">
        <f>SUMPRODUCT(INDEX(Curvas!$B$3:$E$5,MATCH(AD6,Curvas!$A$3:$A$5,0),0),CHOOSE({1,2,3,4},AG6^3,AG6^2,AG6,1))</f>
        <v>27.008984694252394</v>
      </c>
      <c r="AI6" s="169" cm="1">
        <f t="array" ref="AI6">SUMPRODUCT(TRANSPOSE($AM$6:$AM$12),CHOOSE({1,2,3,4,5,6,7},AH6^6,AH6^5,AH6^4,AH6^3,AH6^2,AH6,1))</f>
        <v>0.61667419286486758</v>
      </c>
      <c r="AJ6" s="170">
        <f>AH6*AI6</f>
        <v>16.655743836427657</v>
      </c>
      <c r="AK6" s="151">
        <f>$AK$2*5600*SQRT($AJ6)/1000</f>
        <v>22.854411537170918</v>
      </c>
      <c r="AM6" s="120">
        <v>-1.3432489999999999E-10</v>
      </c>
      <c r="AN6" s="121" t="s">
        <v>159</v>
      </c>
      <c r="AP6">
        <f>SUMPRODUCT(INDEX(Curvas!$B$3:$E$5,MATCH(AD6,Curvas!$A$3:$A$5,0),0),CHOOSE({1,2,3,4},AG6^3,AG6^2,AG6,1))</f>
        <v>27.008984694252394</v>
      </c>
      <c r="AQ6" s="88">
        <v>1</v>
      </c>
      <c r="AR6" s="91">
        <v>81</v>
      </c>
      <c r="AS6" s="91">
        <v>82</v>
      </c>
    </row>
    <row r="7" spans="4:45" ht="15" customHeight="1" x14ac:dyDescent="0.3">
      <c r="D7" s="11" t="s">
        <v>11</v>
      </c>
      <c r="E7" s="64">
        <v>30</v>
      </c>
      <c r="F7" s="60">
        <v>30</v>
      </c>
      <c r="G7" s="60">
        <v>30</v>
      </c>
      <c r="H7" s="60">
        <v>30</v>
      </c>
      <c r="I7" s="60">
        <v>30</v>
      </c>
      <c r="J7" s="60">
        <v>30</v>
      </c>
      <c r="K7" s="60">
        <v>31</v>
      </c>
      <c r="L7" s="60">
        <v>31</v>
      </c>
      <c r="M7" s="60">
        <v>31</v>
      </c>
      <c r="N7" s="60">
        <v>31</v>
      </c>
      <c r="O7" s="60">
        <v>32</v>
      </c>
      <c r="P7" s="60">
        <v>32</v>
      </c>
      <c r="Q7" s="60">
        <v>32</v>
      </c>
      <c r="R7" s="60">
        <v>32</v>
      </c>
      <c r="S7" s="60">
        <v>32</v>
      </c>
      <c r="T7" s="65">
        <v>32</v>
      </c>
      <c r="U7" s="55">
        <f t="shared" si="0"/>
        <v>31</v>
      </c>
      <c r="V7" s="7">
        <f t="shared" si="1"/>
        <v>27.900000000000002</v>
      </c>
      <c r="W7" s="37">
        <f t="shared" si="2"/>
        <v>34.1</v>
      </c>
      <c r="X7" s="9">
        <f t="shared" si="3"/>
        <v>31</v>
      </c>
      <c r="Y7" s="40">
        <f t="shared" si="4"/>
        <v>27.900000000000002</v>
      </c>
      <c r="Z7" s="43">
        <f t="shared" si="5"/>
        <v>34.1</v>
      </c>
      <c r="AB7" s="81">
        <v>59.3</v>
      </c>
      <c r="AC7" s="108" t="str">
        <f t="shared" si="6"/>
        <v>ES-02 (túnel de descarga-PT03)</v>
      </c>
      <c r="AD7" s="26">
        <v>0</v>
      </c>
      <c r="AE7" s="28">
        <f t="shared" ref="AE7:AE32" si="8">X7</f>
        <v>31</v>
      </c>
      <c r="AF7" s="219">
        <f t="shared" si="7"/>
        <v>0.98039215686274506</v>
      </c>
      <c r="AG7" s="28">
        <f t="shared" ref="AG7:AG32" si="9">AE7*AF7</f>
        <v>30.392156862745097</v>
      </c>
      <c r="AH7" s="168">
        <f>SUMPRODUCT(INDEX(Curvas!$B$3:$E$5,MATCH(AD7,Curvas!$A$3:$A$5,0),0),CHOOSE({1,2,3,4},AG7^3,AG7^2,AG7,1))</f>
        <v>21.479964002996514</v>
      </c>
      <c r="AI7" s="169" cm="1">
        <f t="array" ref="AI7">SUMPRODUCT(TRANSPOSE($AM$6:$AM$12),CHOOSE({1,2,3,4,5,6,7},AH7^6,AH7^5,AH7^4,AH7^3,AH7^2,AH7,1))</f>
        <v>0.64187520689403299</v>
      </c>
      <c r="AJ7" s="170">
        <f t="shared" ref="AJ7:AJ32" si="10">AH7*AI7</f>
        <v>13.787456338499769</v>
      </c>
      <c r="AK7" s="151">
        <f t="shared" ref="AK7:AK32" si="11">$AK$2*5600*SQRT($AJ7)/1000</f>
        <v>20.793619953614446</v>
      </c>
      <c r="AM7" s="120">
        <v>3.4206460000000003E-8</v>
      </c>
      <c r="AN7" s="121" t="s">
        <v>160</v>
      </c>
      <c r="AP7">
        <f>SUMPRODUCT(INDEX(Curvas!$B$3:$E$5,MATCH(AD7,Curvas!$A$3:$A$5,0),0),CHOOSE({1,2,3,4},AG7^3,AG7^2,AG7,1))</f>
        <v>21.479964002996514</v>
      </c>
      <c r="AQ7" s="26">
        <v>2</v>
      </c>
      <c r="AR7" s="92">
        <v>82</v>
      </c>
      <c r="AS7" s="92">
        <v>82</v>
      </c>
    </row>
    <row r="8" spans="4:45" ht="15" customHeight="1" x14ac:dyDescent="0.3">
      <c r="D8" s="11" t="s">
        <v>12</v>
      </c>
      <c r="E8" s="64">
        <v>27</v>
      </c>
      <c r="F8" s="60">
        <v>30</v>
      </c>
      <c r="G8" s="60">
        <v>31</v>
      </c>
      <c r="H8" s="60">
        <v>31</v>
      </c>
      <c r="I8" s="60">
        <v>31</v>
      </c>
      <c r="J8" s="60">
        <v>31</v>
      </c>
      <c r="K8" s="60">
        <v>32</v>
      </c>
      <c r="L8" s="60">
        <v>32</v>
      </c>
      <c r="M8" s="60">
        <v>32</v>
      </c>
      <c r="N8" s="60">
        <v>33</v>
      </c>
      <c r="O8" s="60">
        <v>33</v>
      </c>
      <c r="P8" s="60">
        <v>34</v>
      </c>
      <c r="Q8" s="60">
        <v>34</v>
      </c>
      <c r="R8" s="60">
        <v>37</v>
      </c>
      <c r="S8" s="60">
        <v>39</v>
      </c>
      <c r="T8" s="65">
        <v>39</v>
      </c>
      <c r="U8" s="55">
        <f t="shared" si="0"/>
        <v>32.875</v>
      </c>
      <c r="V8" s="7">
        <f t="shared" si="1"/>
        <v>29.587500000000002</v>
      </c>
      <c r="W8" s="37">
        <f t="shared" si="2"/>
        <v>36.162500000000001</v>
      </c>
      <c r="X8" s="9">
        <f t="shared" si="3"/>
        <v>32</v>
      </c>
      <c r="Y8" s="40">
        <f t="shared" si="4"/>
        <v>28.8</v>
      </c>
      <c r="Z8" s="43">
        <f t="shared" si="5"/>
        <v>35.200000000000003</v>
      </c>
      <c r="AB8" s="81">
        <v>64.3</v>
      </c>
      <c r="AC8" s="108" t="str">
        <f t="shared" si="6"/>
        <v>ES-03 (túnel de descarga-PT06)</v>
      </c>
      <c r="AD8" s="26">
        <v>0</v>
      </c>
      <c r="AE8" s="28">
        <f t="shared" si="8"/>
        <v>32</v>
      </c>
      <c r="AF8" s="219">
        <f t="shared" si="7"/>
        <v>0.98039215686274506</v>
      </c>
      <c r="AG8" s="28">
        <f t="shared" si="9"/>
        <v>31.372549019607842</v>
      </c>
      <c r="AH8" s="168">
        <f>SUMPRODUCT(INDEX(Curvas!$B$3:$E$5,MATCH(AD8,Curvas!$A$3:$A$5,0),0),CHOOSE({1,2,3,4},AG8^3,AG8^2,AG8,1))</f>
        <v>22.801873634883943</v>
      </c>
      <c r="AI8" s="169" cm="1">
        <f t="array" ref="AI8">SUMPRODUCT(TRANSPOSE($AM$6:$AM$12),CHOOSE({1,2,3,4,5,6,7},AH8^6,AH8^5,AH8^4,AH8^3,AH8^2,AH8,1))</f>
        <v>0.63477558709513171</v>
      </c>
      <c r="AJ8" s="170">
        <f t="shared" si="10"/>
        <v>14.47407272345246</v>
      </c>
      <c r="AK8" s="151">
        <f t="shared" si="11"/>
        <v>21.305091424527358</v>
      </c>
      <c r="AM8" s="120">
        <v>-3.4905150000000001E-6</v>
      </c>
      <c r="AN8" s="121" t="s">
        <v>161</v>
      </c>
      <c r="AP8">
        <f>SUMPRODUCT(INDEX(Curvas!$B$3:$E$5,MATCH(AD8,Curvas!$A$3:$A$5,0),0),CHOOSE({1,2,3,4},AG8^3,AG8^2,AG8,1))</f>
        <v>22.801873634883943</v>
      </c>
      <c r="AQ8" s="26">
        <v>3</v>
      </c>
      <c r="AR8" s="92">
        <v>81</v>
      </c>
      <c r="AS8" s="92">
        <v>81</v>
      </c>
    </row>
    <row r="9" spans="4:45" ht="15" customHeight="1" x14ac:dyDescent="0.3">
      <c r="D9" s="11" t="s">
        <v>13</v>
      </c>
      <c r="E9" s="64">
        <v>33</v>
      </c>
      <c r="F9" s="60">
        <v>33</v>
      </c>
      <c r="G9" s="60">
        <v>34</v>
      </c>
      <c r="H9" s="60">
        <v>34</v>
      </c>
      <c r="I9" s="60">
        <v>36</v>
      </c>
      <c r="J9" s="60">
        <v>36</v>
      </c>
      <c r="K9" s="60">
        <v>37</v>
      </c>
      <c r="L9" s="60">
        <v>37</v>
      </c>
      <c r="M9" s="60">
        <v>37</v>
      </c>
      <c r="N9" s="60">
        <v>37</v>
      </c>
      <c r="O9" s="60">
        <v>38</v>
      </c>
      <c r="P9" s="60">
        <v>38</v>
      </c>
      <c r="Q9" s="60">
        <v>39</v>
      </c>
      <c r="R9" s="60">
        <v>39</v>
      </c>
      <c r="S9" s="60">
        <v>40</v>
      </c>
      <c r="T9" s="65">
        <v>48</v>
      </c>
      <c r="U9" s="55">
        <f t="shared" si="0"/>
        <v>37.25</v>
      </c>
      <c r="V9" s="7">
        <f t="shared" si="1"/>
        <v>33.524999999999999</v>
      </c>
      <c r="W9" s="37">
        <f t="shared" si="2"/>
        <v>40.975000000000001</v>
      </c>
      <c r="X9" s="9">
        <f>AVERAGEIFS(E9:T9,E9:T9,"&gt;"&amp;V9, E9:T9, "&lt;"&amp;W9)</f>
        <v>37.07692307692308</v>
      </c>
      <c r="Y9" s="40">
        <f t="shared" si="4"/>
        <v>33.369230769230775</v>
      </c>
      <c r="Z9" s="43">
        <f t="shared" si="5"/>
        <v>40.784615384615392</v>
      </c>
      <c r="AB9" s="81">
        <v>49.5</v>
      </c>
      <c r="AC9" s="108" t="str">
        <f t="shared" si="6"/>
        <v>ES-04 (estaca 71-N)</v>
      </c>
      <c r="AD9" s="26">
        <v>0</v>
      </c>
      <c r="AE9" s="28">
        <f t="shared" si="8"/>
        <v>37.07692307692308</v>
      </c>
      <c r="AF9" s="219">
        <f t="shared" si="7"/>
        <v>0.98039215686274506</v>
      </c>
      <c r="AG9" s="28">
        <f t="shared" si="9"/>
        <v>36.349924585218702</v>
      </c>
      <c r="AH9" s="168">
        <f>SUMPRODUCT(INDEX(Curvas!$B$3:$E$5,MATCH(AD9,Curvas!$A$3:$A$5,0),0),CHOOSE({1,2,3,4},AG9^3,AG9^2,AG9,1))</f>
        <v>29.675151814325542</v>
      </c>
      <c r="AI9" s="169" cm="1">
        <f t="array" ref="AI9">SUMPRODUCT(TRANSPOSE($AM$6:$AM$12),CHOOSE({1,2,3,4,5,6,7},AH9^6,AH9^5,AH9^4,AH9^3,AH9^2,AH9,1))</f>
        <v>0.60902724283158394</v>
      </c>
      <c r="AJ9" s="170">
        <f t="shared" si="10"/>
        <v>18.07297589008736</v>
      </c>
      <c r="AK9" s="151">
        <f t="shared" si="11"/>
        <v>23.806900762449942</v>
      </c>
      <c r="AM9" s="120">
        <v>1.7928320000000001E-4</v>
      </c>
      <c r="AN9" s="121" t="s">
        <v>162</v>
      </c>
      <c r="AP9">
        <f>SUMPRODUCT(INDEX(Curvas!$B$3:$E$5,MATCH(AD9,Curvas!$A$3:$A$5,0),0),CHOOSE({1,2,3,4},AG9^3,AG9^2,AG9,1))</f>
        <v>29.675151814325542</v>
      </c>
      <c r="AQ9" s="26">
        <v>4</v>
      </c>
      <c r="AR9" s="92">
        <v>82</v>
      </c>
      <c r="AS9" s="92">
        <v>82</v>
      </c>
    </row>
    <row r="10" spans="4:45" ht="15" customHeight="1" x14ac:dyDescent="0.3">
      <c r="D10" s="11" t="s">
        <v>14</v>
      </c>
      <c r="E10" s="64">
        <v>31</v>
      </c>
      <c r="F10" s="60">
        <v>34</v>
      </c>
      <c r="G10" s="60">
        <v>34</v>
      </c>
      <c r="H10" s="60">
        <v>35</v>
      </c>
      <c r="I10" s="60">
        <v>35</v>
      </c>
      <c r="J10" s="60">
        <v>36</v>
      </c>
      <c r="K10" s="60">
        <v>36</v>
      </c>
      <c r="L10" s="60">
        <v>36</v>
      </c>
      <c r="M10" s="60">
        <v>36</v>
      </c>
      <c r="N10" s="60">
        <v>38</v>
      </c>
      <c r="O10" s="60">
        <v>38</v>
      </c>
      <c r="P10" s="60">
        <v>38</v>
      </c>
      <c r="Q10" s="60">
        <v>38</v>
      </c>
      <c r="R10" s="60">
        <v>39</v>
      </c>
      <c r="S10" s="60">
        <v>44</v>
      </c>
      <c r="T10" s="65">
        <v>48</v>
      </c>
      <c r="U10" s="55">
        <f t="shared" si="0"/>
        <v>37.25</v>
      </c>
      <c r="V10" s="7">
        <f t="shared" si="1"/>
        <v>33.524999999999999</v>
      </c>
      <c r="W10" s="37">
        <f t="shared" si="2"/>
        <v>40.975000000000001</v>
      </c>
      <c r="X10" s="9">
        <f t="shared" si="3"/>
        <v>36.384615384615387</v>
      </c>
      <c r="Y10" s="40">
        <f t="shared" si="4"/>
        <v>32.746153846153852</v>
      </c>
      <c r="Z10" s="43">
        <f t="shared" si="5"/>
        <v>40.023076923076928</v>
      </c>
      <c r="AB10" s="81">
        <v>50.5</v>
      </c>
      <c r="AC10" s="108" t="str">
        <f t="shared" si="6"/>
        <v>ES-05 (estaca 71-O)</v>
      </c>
      <c r="AD10" s="26">
        <v>0</v>
      </c>
      <c r="AE10" s="28">
        <f t="shared" si="8"/>
        <v>36.384615384615387</v>
      </c>
      <c r="AF10" s="219">
        <f t="shared" si="7"/>
        <v>0.98039215686274506</v>
      </c>
      <c r="AG10" s="28">
        <f t="shared" si="9"/>
        <v>35.671191553544496</v>
      </c>
      <c r="AH10" s="168">
        <f>SUMPRODUCT(INDEX(Curvas!$B$3:$E$5,MATCH(AD10,Curvas!$A$3:$A$5,0),0),CHOOSE({1,2,3,4},AG10^3,AG10^2,AG10,1))</f>
        <v>28.720062893708683</v>
      </c>
      <c r="AI10" s="169" cm="1">
        <f t="array" ref="AI10">SUMPRODUCT(TRANSPOSE($AM$6:$AM$12),CHOOSE({1,2,3,4,5,6,7},AH10^6,AH10^5,AH10^4,AH10^3,AH10^2,AH10,1))</f>
        <v>0.61143616841081272</v>
      </c>
      <c r="AJ10" s="170">
        <f t="shared" si="10"/>
        <v>17.560485212246796</v>
      </c>
      <c r="AK10" s="151">
        <f t="shared" si="11"/>
        <v>23.466930269126795</v>
      </c>
      <c r="AM10" s="120">
        <v>-4.7045079999999996E-3</v>
      </c>
      <c r="AN10" s="121" t="s">
        <v>163</v>
      </c>
      <c r="AP10">
        <f>SUMPRODUCT(INDEX(Curvas!$B$3:$E$5,MATCH(AD10,Curvas!$A$3:$A$5,0),0),CHOOSE({1,2,3,4},AG10^3,AG10^2,AG10,1))</f>
        <v>28.720062893708683</v>
      </c>
      <c r="AQ10" s="26">
        <v>5</v>
      </c>
      <c r="AR10" s="92">
        <v>82</v>
      </c>
      <c r="AS10" s="92">
        <v>81</v>
      </c>
    </row>
    <row r="11" spans="4:45" ht="15" customHeight="1" x14ac:dyDescent="0.3">
      <c r="D11" s="11" t="s">
        <v>15</v>
      </c>
      <c r="E11" s="64">
        <v>35</v>
      </c>
      <c r="F11" s="60">
        <v>35</v>
      </c>
      <c r="G11" s="60">
        <v>36</v>
      </c>
      <c r="H11" s="60">
        <v>36</v>
      </c>
      <c r="I11" s="60">
        <v>37</v>
      </c>
      <c r="J11" s="60">
        <v>38</v>
      </c>
      <c r="K11" s="60">
        <v>38</v>
      </c>
      <c r="L11" s="60">
        <v>38</v>
      </c>
      <c r="M11" s="60">
        <v>41</v>
      </c>
      <c r="N11" s="60">
        <v>41</v>
      </c>
      <c r="O11" s="60">
        <v>42</v>
      </c>
      <c r="P11" s="60">
        <v>42</v>
      </c>
      <c r="Q11" s="60">
        <v>44</v>
      </c>
      <c r="R11" s="60">
        <v>45</v>
      </c>
      <c r="S11" s="60">
        <v>53</v>
      </c>
      <c r="T11" s="65">
        <v>58</v>
      </c>
      <c r="U11" s="55">
        <f t="shared" si="0"/>
        <v>41.1875</v>
      </c>
      <c r="V11" s="7">
        <f t="shared" si="1"/>
        <v>37.068750000000001</v>
      </c>
      <c r="W11" s="37">
        <f t="shared" si="2"/>
        <v>45.306250000000006</v>
      </c>
      <c r="X11" s="9">
        <f t="shared" si="3"/>
        <v>41</v>
      </c>
      <c r="Y11" s="40">
        <f t="shared" si="4"/>
        <v>36.9</v>
      </c>
      <c r="Z11" s="43">
        <f t="shared" si="5"/>
        <v>45.1</v>
      </c>
      <c r="AB11" s="81">
        <v>55</v>
      </c>
      <c r="AC11" s="108" t="str">
        <f t="shared" si="6"/>
        <v>ES-06 (estaca 71-S)</v>
      </c>
      <c r="AD11" s="26">
        <v>0</v>
      </c>
      <c r="AE11" s="28">
        <f t="shared" si="8"/>
        <v>41</v>
      </c>
      <c r="AF11" s="219">
        <f t="shared" si="7"/>
        <v>0.98039215686274506</v>
      </c>
      <c r="AG11" s="28">
        <f t="shared" si="9"/>
        <v>40.196078431372548</v>
      </c>
      <c r="AH11" s="168">
        <f>SUMPRODUCT(INDEX(Curvas!$B$3:$E$5,MATCH(AD11,Curvas!$A$3:$A$5,0),0),CHOOSE({1,2,3,4},AG11^3,AG11^2,AG11,1))</f>
        <v>35.212385801889852</v>
      </c>
      <c r="AI11" s="169" cm="1">
        <f t="array" ref="AI11">SUMPRODUCT(TRANSPOSE($AM$6:$AM$12),CHOOSE({1,2,3,4,5,6,7},AH11^6,AH11^5,AH11^4,AH11^3,AH11^2,AH11,1))</f>
        <v>0.60109749127812528</v>
      </c>
      <c r="AJ11" s="170">
        <f t="shared" si="10"/>
        <v>21.166076767433466</v>
      </c>
      <c r="AK11" s="151">
        <f t="shared" si="11"/>
        <v>25.763698636389798</v>
      </c>
      <c r="AM11" s="120">
        <v>5.4014659999999999E-2</v>
      </c>
      <c r="AN11" s="121" t="s">
        <v>164</v>
      </c>
      <c r="AP11">
        <f>SUMPRODUCT(INDEX(Curvas!$B$3:$E$5,MATCH(AD11,Curvas!$A$3:$A$5,0),0),CHOOSE({1,2,3,4},AG11^3,AG11^2,AG11,1))</f>
        <v>35.212385801889852</v>
      </c>
      <c r="AQ11" s="26">
        <v>6</v>
      </c>
      <c r="AR11" s="92">
        <v>82</v>
      </c>
      <c r="AS11" s="92">
        <v>82</v>
      </c>
    </row>
    <row r="12" spans="4:45" ht="15" customHeight="1" x14ac:dyDescent="0.3">
      <c r="D12" s="11" t="s">
        <v>16</v>
      </c>
      <c r="E12" s="64">
        <v>31</v>
      </c>
      <c r="F12" s="60">
        <v>35</v>
      </c>
      <c r="G12" s="60">
        <v>36</v>
      </c>
      <c r="H12" s="60">
        <v>36</v>
      </c>
      <c r="I12" s="60">
        <v>37</v>
      </c>
      <c r="J12" s="60">
        <v>37</v>
      </c>
      <c r="K12" s="60">
        <v>38</v>
      </c>
      <c r="L12" s="60">
        <v>38</v>
      </c>
      <c r="M12" s="60">
        <v>38</v>
      </c>
      <c r="N12" s="60">
        <v>39</v>
      </c>
      <c r="O12" s="60">
        <v>39</v>
      </c>
      <c r="P12" s="60">
        <v>40</v>
      </c>
      <c r="Q12" s="60">
        <v>41</v>
      </c>
      <c r="R12" s="60">
        <v>41</v>
      </c>
      <c r="S12" s="60">
        <v>45</v>
      </c>
      <c r="T12" s="65">
        <v>46</v>
      </c>
      <c r="U12" s="55">
        <f t="shared" si="0"/>
        <v>38.5625</v>
      </c>
      <c r="V12" s="7">
        <f t="shared" si="1"/>
        <v>34.706250000000004</v>
      </c>
      <c r="W12" s="37">
        <f t="shared" si="2"/>
        <v>42.418750000000003</v>
      </c>
      <c r="X12" s="9">
        <f t="shared" si="3"/>
        <v>38.07692307692308</v>
      </c>
      <c r="Y12" s="40">
        <f t="shared" si="4"/>
        <v>34.269230769230774</v>
      </c>
      <c r="Z12" s="43">
        <f t="shared" si="5"/>
        <v>41.884615384615394</v>
      </c>
      <c r="AB12" s="82">
        <v>57</v>
      </c>
      <c r="AC12" s="108" t="str">
        <f t="shared" si="6"/>
        <v>ES-07 (estaca 71-L)</v>
      </c>
      <c r="AD12" s="26">
        <v>0</v>
      </c>
      <c r="AE12" s="28">
        <f t="shared" si="8"/>
        <v>38.07692307692308</v>
      </c>
      <c r="AF12" s="219">
        <f t="shared" si="7"/>
        <v>0.98039215686274506</v>
      </c>
      <c r="AG12" s="28">
        <f t="shared" si="9"/>
        <v>37.33031674208145</v>
      </c>
      <c r="AH12" s="168">
        <f>SUMPRODUCT(INDEX(Curvas!$B$3:$E$5,MATCH(AD12,Curvas!$A$3:$A$5,0),0),CHOOSE({1,2,3,4},AG12^3,AG12^2,AG12,1))</f>
        <v>31.065844568082493</v>
      </c>
      <c r="AI12" s="169" cm="1">
        <f t="array" ref="AI12">SUMPRODUCT(TRANSPOSE($AM$6:$AM$12),CHOOSE({1,2,3,4,5,6,7},AH12^6,AH12^5,AH12^4,AH12^3,AH12^2,AH12,1))</f>
        <v>0.60613262841930005</v>
      </c>
      <c r="AJ12" s="170">
        <f t="shared" si="10"/>
        <v>18.830022022117276</v>
      </c>
      <c r="AK12" s="151">
        <f t="shared" si="11"/>
        <v>24.300401038122764</v>
      </c>
      <c r="AM12" s="120">
        <v>0.47528189999999998</v>
      </c>
      <c r="AN12" s="121" t="s">
        <v>165</v>
      </c>
      <c r="AP12">
        <f>SUMPRODUCT(INDEX(Curvas!$B$3:$E$5,MATCH(AD12,Curvas!$A$3:$A$5,0),0),CHOOSE({1,2,3,4},AG12^3,AG12^2,AG12,1))</f>
        <v>31.065844568082493</v>
      </c>
      <c r="AQ12" s="26">
        <v>7</v>
      </c>
      <c r="AR12" s="92">
        <v>81</v>
      </c>
      <c r="AS12" s="92">
        <v>82</v>
      </c>
    </row>
    <row r="13" spans="4:45" ht="15" customHeight="1" x14ac:dyDescent="0.3">
      <c r="D13" s="11" t="s">
        <v>17</v>
      </c>
      <c r="E13" s="64">
        <v>26</v>
      </c>
      <c r="F13" s="60">
        <v>27</v>
      </c>
      <c r="G13" s="60">
        <v>28</v>
      </c>
      <c r="H13" s="60">
        <v>29</v>
      </c>
      <c r="I13" s="60">
        <v>30</v>
      </c>
      <c r="J13" s="60">
        <v>30</v>
      </c>
      <c r="K13" s="60">
        <v>32</v>
      </c>
      <c r="L13" s="60">
        <v>32</v>
      </c>
      <c r="M13" s="60">
        <v>32</v>
      </c>
      <c r="N13" s="60">
        <v>33</v>
      </c>
      <c r="O13" s="60">
        <v>33</v>
      </c>
      <c r="P13" s="60">
        <v>34</v>
      </c>
      <c r="Q13" s="60">
        <v>35</v>
      </c>
      <c r="R13" s="60">
        <v>36</v>
      </c>
      <c r="S13" s="60">
        <v>36</v>
      </c>
      <c r="T13" s="65">
        <v>37</v>
      </c>
      <c r="U13" s="55">
        <f t="shared" si="0"/>
        <v>31.875</v>
      </c>
      <c r="V13" s="7">
        <f t="shared" si="1"/>
        <v>28.6875</v>
      </c>
      <c r="W13" s="37">
        <f t="shared" si="2"/>
        <v>35.0625</v>
      </c>
      <c r="X13" s="9">
        <f t="shared" si="3"/>
        <v>32</v>
      </c>
      <c r="Y13" s="40">
        <f t="shared" si="4"/>
        <v>28.8</v>
      </c>
      <c r="Z13" s="43">
        <f t="shared" si="5"/>
        <v>35.200000000000003</v>
      </c>
      <c r="AB13" s="82">
        <v>70</v>
      </c>
      <c r="AC13" s="108" t="str">
        <f t="shared" si="6"/>
        <v>ES-08 (estaca 60-N)</v>
      </c>
      <c r="AD13" s="26">
        <v>0</v>
      </c>
      <c r="AE13" s="28">
        <f t="shared" si="8"/>
        <v>32</v>
      </c>
      <c r="AF13" s="219">
        <f t="shared" si="7"/>
        <v>0.98039215686274506</v>
      </c>
      <c r="AG13" s="28">
        <f t="shared" si="9"/>
        <v>31.372549019607842</v>
      </c>
      <c r="AH13" s="168">
        <f>SUMPRODUCT(INDEX(Curvas!$B$3:$E$5,MATCH(AD13,Curvas!$A$3:$A$5,0),0),CHOOSE({1,2,3,4},AG13^3,AG13^2,AG13,1))</f>
        <v>22.801873634883943</v>
      </c>
      <c r="AI13" s="169" cm="1">
        <f t="array" ref="AI13">SUMPRODUCT(TRANSPOSE($AM$6:$AM$12),CHOOSE({1,2,3,4,5,6,7},AH13^6,AH13^5,AH13^4,AH13^3,AH13^2,AH13,1))</f>
        <v>0.63477558709513171</v>
      </c>
      <c r="AJ13" s="170">
        <f t="shared" si="10"/>
        <v>14.47407272345246</v>
      </c>
      <c r="AK13" s="151">
        <f t="shared" si="11"/>
        <v>21.305091424527358</v>
      </c>
      <c r="AM13" s="119"/>
      <c r="AP13">
        <f>SUMPRODUCT(INDEX(Curvas!$B$3:$E$5,MATCH(AD13,Curvas!$A$3:$A$5,0),0),CHOOSE({1,2,3,4},AG13^3,AG13^2,AG13,1))</f>
        <v>22.801873634883943</v>
      </c>
      <c r="AQ13" s="26">
        <v>8</v>
      </c>
      <c r="AR13" s="92">
        <v>82</v>
      </c>
      <c r="AS13" s="92">
        <v>81</v>
      </c>
    </row>
    <row r="14" spans="4:45" ht="15" customHeight="1" x14ac:dyDescent="0.3">
      <c r="D14" s="11" t="s">
        <v>18</v>
      </c>
      <c r="E14" s="64">
        <v>29</v>
      </c>
      <c r="F14" s="60">
        <v>30</v>
      </c>
      <c r="G14" s="60">
        <v>30</v>
      </c>
      <c r="H14" s="60">
        <v>30</v>
      </c>
      <c r="I14" s="60">
        <v>30</v>
      </c>
      <c r="J14" s="60">
        <v>31</v>
      </c>
      <c r="K14" s="60">
        <v>31</v>
      </c>
      <c r="L14" s="60">
        <v>32</v>
      </c>
      <c r="M14" s="60">
        <v>32</v>
      </c>
      <c r="N14" s="60">
        <v>32</v>
      </c>
      <c r="O14" s="60">
        <v>33</v>
      </c>
      <c r="P14" s="60">
        <v>34</v>
      </c>
      <c r="Q14" s="60">
        <v>35</v>
      </c>
      <c r="R14" s="60">
        <v>35</v>
      </c>
      <c r="S14" s="60">
        <v>36</v>
      </c>
      <c r="T14" s="65">
        <v>36</v>
      </c>
      <c r="U14" s="55">
        <f t="shared" si="0"/>
        <v>32.25</v>
      </c>
      <c r="V14" s="7">
        <f t="shared" si="1"/>
        <v>29.025000000000002</v>
      </c>
      <c r="W14" s="37">
        <f t="shared" si="2"/>
        <v>35.475000000000001</v>
      </c>
      <c r="X14" s="9">
        <f t="shared" si="3"/>
        <v>31.923076923076923</v>
      </c>
      <c r="Y14" s="40">
        <f t="shared" si="4"/>
        <v>28.73076923076923</v>
      </c>
      <c r="Z14" s="43">
        <f t="shared" si="5"/>
        <v>35.11538461538462</v>
      </c>
      <c r="AB14" s="82">
        <v>62</v>
      </c>
      <c r="AC14" s="108" t="str">
        <f t="shared" si="6"/>
        <v>ES-09 (estaca 60-O)</v>
      </c>
      <c r="AD14" s="26">
        <v>0</v>
      </c>
      <c r="AE14" s="28">
        <f t="shared" si="8"/>
        <v>31.923076923076923</v>
      </c>
      <c r="AF14" s="219">
        <f t="shared" si="7"/>
        <v>0.98039215686274506</v>
      </c>
      <c r="AG14" s="28">
        <f t="shared" si="9"/>
        <v>31.297134238310708</v>
      </c>
      <c r="AH14" s="168">
        <f>SUMPRODUCT(INDEX(Curvas!$B$3:$E$5,MATCH(AD14,Curvas!$A$3:$A$5,0),0),CHOOSE({1,2,3,4},AG14^3,AG14^2,AG14,1))</f>
        <v>22.699857432271227</v>
      </c>
      <c r="AI14" s="169" cm="1">
        <f t="array" ref="AI14">SUMPRODUCT(TRANSPOSE($AM$6:$AM$12),CHOOSE({1,2,3,4,5,6,7},AH14^6,AH14^5,AH14^4,AH14^3,AH14^2,AH14,1))</f>
        <v>0.63530231654915892</v>
      </c>
      <c r="AJ14" s="170">
        <f t="shared" si="10"/>
        <v>14.421272012057553</v>
      </c>
      <c r="AK14" s="151">
        <f t="shared" si="11"/>
        <v>21.266195952688033</v>
      </c>
      <c r="AP14">
        <f>SUMPRODUCT(INDEX(Curvas!$B$3:$E$5,MATCH(AD14,Curvas!$A$3:$A$5,0),0),CHOOSE({1,2,3,4},AG14^3,AG14^2,AG14,1))</f>
        <v>22.699857432271227</v>
      </c>
      <c r="AQ14" s="26">
        <v>9</v>
      </c>
      <c r="AR14" s="92">
        <v>82</v>
      </c>
      <c r="AS14" s="92">
        <v>82</v>
      </c>
    </row>
    <row r="15" spans="4:45" ht="15" customHeight="1" thickBot="1" x14ac:dyDescent="0.35">
      <c r="D15" s="11" t="s">
        <v>19</v>
      </c>
      <c r="E15" s="64">
        <v>30</v>
      </c>
      <c r="F15" s="60">
        <v>30</v>
      </c>
      <c r="G15" s="60">
        <v>31</v>
      </c>
      <c r="H15" s="60">
        <v>32</v>
      </c>
      <c r="I15" s="60">
        <v>32</v>
      </c>
      <c r="J15" s="60">
        <v>32</v>
      </c>
      <c r="K15" s="60">
        <v>33</v>
      </c>
      <c r="L15" s="60">
        <v>33</v>
      </c>
      <c r="M15" s="60">
        <v>33</v>
      </c>
      <c r="N15" s="60">
        <v>34</v>
      </c>
      <c r="O15" s="60">
        <v>34</v>
      </c>
      <c r="P15" s="60">
        <v>35</v>
      </c>
      <c r="Q15" s="60">
        <v>35</v>
      </c>
      <c r="R15" s="60">
        <v>35</v>
      </c>
      <c r="S15" s="60">
        <v>37</v>
      </c>
      <c r="T15" s="65">
        <v>38</v>
      </c>
      <c r="U15" s="55">
        <f t="shared" si="0"/>
        <v>33.375</v>
      </c>
      <c r="V15" s="7">
        <f t="shared" si="1"/>
        <v>30.037500000000001</v>
      </c>
      <c r="W15" s="37">
        <f t="shared" si="2"/>
        <v>36.712500000000006</v>
      </c>
      <c r="X15" s="9">
        <f t="shared" si="3"/>
        <v>33.25</v>
      </c>
      <c r="Y15" s="40">
        <f t="shared" si="4"/>
        <v>29.925000000000001</v>
      </c>
      <c r="Z15" s="43">
        <f t="shared" si="5"/>
        <v>36.575000000000003</v>
      </c>
      <c r="AB15" s="83">
        <v>6</v>
      </c>
      <c r="AC15" s="108" t="str">
        <f t="shared" si="6"/>
        <v>ES-10 (estaca 60-S)</v>
      </c>
      <c r="AD15" s="26">
        <v>0</v>
      </c>
      <c r="AE15" s="28">
        <f t="shared" si="8"/>
        <v>33.25</v>
      </c>
      <c r="AF15" s="219">
        <f t="shared" si="7"/>
        <v>0.98039215686274506</v>
      </c>
      <c r="AG15" s="28">
        <f t="shared" si="9"/>
        <v>32.598039215686271</v>
      </c>
      <c r="AH15" s="168">
        <f>SUMPRODUCT(INDEX(Curvas!$B$3:$E$5,MATCH(AD15,Curvas!$A$3:$A$5,0),0),CHOOSE({1,2,3,4},AG15^3,AG15^2,AG15,1))</f>
        <v>24.467794611598688</v>
      </c>
      <c r="AI15" s="169" cm="1">
        <f t="array" ref="AI15">SUMPRODUCT(TRANSPOSE($AM$6:$AM$12),CHOOSE({1,2,3,4,5,6,7},AH15^6,AH15^5,AH15^4,AH15^3,AH15^2,AH15,1))</f>
        <v>0.6267350402382954</v>
      </c>
      <c r="AJ15" s="170">
        <f t="shared" si="10"/>
        <v>15.334824240442652</v>
      </c>
      <c r="AK15" s="151">
        <f t="shared" si="11"/>
        <v>21.929434287739422</v>
      </c>
      <c r="AP15">
        <f>SUMPRODUCT(INDEX(Curvas!$B$3:$E$5,MATCH(AD15,Curvas!$A$3:$A$5,0),0),CHOOSE({1,2,3,4},AG15^3,AG15^2,AG15,1))</f>
        <v>24.467794611598688</v>
      </c>
      <c r="AQ15" s="90">
        <v>10</v>
      </c>
      <c r="AR15" s="93">
        <v>81</v>
      </c>
      <c r="AS15" s="93">
        <v>82</v>
      </c>
    </row>
    <row r="16" spans="4:45" ht="15" customHeight="1" x14ac:dyDescent="0.3">
      <c r="D16" s="11" t="s">
        <v>20</v>
      </c>
      <c r="E16" s="64">
        <v>30</v>
      </c>
      <c r="F16" s="60">
        <v>30</v>
      </c>
      <c r="G16" s="60">
        <v>31</v>
      </c>
      <c r="H16" s="60">
        <v>32</v>
      </c>
      <c r="I16" s="60">
        <v>32</v>
      </c>
      <c r="J16" s="60">
        <v>32</v>
      </c>
      <c r="K16" s="60">
        <v>33</v>
      </c>
      <c r="L16" s="60">
        <v>33</v>
      </c>
      <c r="M16" s="60">
        <v>33</v>
      </c>
      <c r="N16" s="60">
        <v>33</v>
      </c>
      <c r="O16" s="60">
        <v>34</v>
      </c>
      <c r="P16" s="60">
        <v>34</v>
      </c>
      <c r="Q16" s="60">
        <v>34</v>
      </c>
      <c r="R16" s="60">
        <v>34</v>
      </c>
      <c r="S16" s="60">
        <v>37</v>
      </c>
      <c r="T16" s="65">
        <v>39</v>
      </c>
      <c r="U16" s="55">
        <f t="shared" si="0"/>
        <v>33.1875</v>
      </c>
      <c r="V16" s="7">
        <f t="shared" si="1"/>
        <v>29.868750000000002</v>
      </c>
      <c r="W16" s="37">
        <f t="shared" si="2"/>
        <v>36.506250000000001</v>
      </c>
      <c r="X16" s="9">
        <f t="shared" si="3"/>
        <v>32.5</v>
      </c>
      <c r="Y16" s="40">
        <f t="shared" si="4"/>
        <v>29.25</v>
      </c>
      <c r="Z16" s="43">
        <f t="shared" si="5"/>
        <v>35.75</v>
      </c>
      <c r="AB16" s="83">
        <v>6</v>
      </c>
      <c r="AC16" s="108" t="str">
        <f t="shared" si="6"/>
        <v>ES-11 (estaca 60-L)</v>
      </c>
      <c r="AD16" s="26">
        <v>0</v>
      </c>
      <c r="AE16" s="28">
        <f t="shared" si="8"/>
        <v>32.5</v>
      </c>
      <c r="AF16" s="219">
        <f t="shared" si="7"/>
        <v>0.98039215686274506</v>
      </c>
      <c r="AG16" s="28">
        <f t="shared" si="9"/>
        <v>31.862745098039213</v>
      </c>
      <c r="AH16" s="168">
        <f>SUMPRODUCT(INDEX(Curvas!$B$3:$E$5,MATCH(AD16,Curvas!$A$3:$A$5,0),0),CHOOSE({1,2,3,4},AG16^3,AG16^2,AG16,1))</f>
        <v>23.466372791381065</v>
      </c>
      <c r="AI16" s="169" cm="1">
        <f t="array" ref="AI16">SUMPRODUCT(TRANSPOSE($AM$6:$AM$12),CHOOSE({1,2,3,4,5,6,7},AH16^6,AH16^5,AH16^4,AH16^3,AH16^2,AH16,1))</f>
        <v>0.6314388179520205</v>
      </c>
      <c r="AJ16" s="170">
        <f t="shared" si="10"/>
        <v>14.817578697011117</v>
      </c>
      <c r="AK16" s="151">
        <f t="shared" si="11"/>
        <v>21.5564205734224</v>
      </c>
      <c r="AP16">
        <f>SUMPRODUCT(INDEX(Curvas!$B$3:$E$5,MATCH(AD16,Curvas!$A$3:$A$5,0),0),CHOOSE({1,2,3,4},AG16^3,AG16^2,AG16,1))</f>
        <v>23.466372791381065</v>
      </c>
      <c r="AQ16" s="102" t="s">
        <v>135</v>
      </c>
      <c r="AR16" s="94">
        <f>SUM(AR6:AR15)</f>
        <v>816</v>
      </c>
      <c r="AS16" s="94">
        <f>SUM(AS6:AS15)</f>
        <v>817</v>
      </c>
    </row>
    <row r="17" spans="4:57" ht="15" customHeight="1" x14ac:dyDescent="0.3">
      <c r="D17" s="11" t="s">
        <v>21</v>
      </c>
      <c r="E17" s="64">
        <v>28</v>
      </c>
      <c r="F17" s="60">
        <v>30</v>
      </c>
      <c r="G17" s="60">
        <v>30</v>
      </c>
      <c r="H17" s="60">
        <v>30</v>
      </c>
      <c r="I17" s="60">
        <v>30</v>
      </c>
      <c r="J17" s="60">
        <v>32</v>
      </c>
      <c r="K17" s="60">
        <v>32</v>
      </c>
      <c r="L17" s="60">
        <v>32</v>
      </c>
      <c r="M17" s="60">
        <v>32</v>
      </c>
      <c r="N17" s="60">
        <v>32</v>
      </c>
      <c r="O17" s="60">
        <v>32</v>
      </c>
      <c r="P17" s="60">
        <v>33</v>
      </c>
      <c r="Q17" s="60">
        <v>33</v>
      </c>
      <c r="R17" s="60">
        <v>37</v>
      </c>
      <c r="S17" s="60">
        <v>39</v>
      </c>
      <c r="T17" s="65">
        <v>40</v>
      </c>
      <c r="U17" s="55">
        <f t="shared" si="0"/>
        <v>32.625</v>
      </c>
      <c r="V17" s="7">
        <f t="shared" si="1"/>
        <v>29.362500000000001</v>
      </c>
      <c r="W17" s="37">
        <f t="shared" si="2"/>
        <v>35.887500000000003</v>
      </c>
      <c r="X17" s="9">
        <f t="shared" si="3"/>
        <v>31.5</v>
      </c>
      <c r="Y17" s="40">
        <f t="shared" si="4"/>
        <v>28.35</v>
      </c>
      <c r="Z17" s="43">
        <f t="shared" si="5"/>
        <v>34.650000000000006</v>
      </c>
      <c r="AB17" s="84">
        <v>64.8</v>
      </c>
      <c r="AC17" s="108" t="str">
        <f t="shared" si="6"/>
        <v>ES-12 (estaca 44-N)</v>
      </c>
      <c r="AD17" s="26">
        <v>0</v>
      </c>
      <c r="AE17" s="28">
        <f t="shared" si="8"/>
        <v>31.5</v>
      </c>
      <c r="AF17" s="219">
        <f t="shared" si="7"/>
        <v>0.98039215686274506</v>
      </c>
      <c r="AG17" s="28">
        <f t="shared" si="9"/>
        <v>30.882352941176471</v>
      </c>
      <c r="AH17" s="168">
        <f>SUMPRODUCT(INDEX(Curvas!$B$3:$E$5,MATCH(AD17,Curvas!$A$3:$A$5,0),0),CHOOSE({1,2,3,4},AG17^3,AG17^2,AG17,1))</f>
        <v>22.139766131766738</v>
      </c>
      <c r="AI17" s="169" cm="1">
        <f t="array" ref="AI17">SUMPRODUCT(TRANSPOSE($AM$6:$AM$12),CHOOSE({1,2,3,4,5,6,7},AH17^6,AH17^5,AH17^4,AH17^3,AH17^2,AH17,1))</f>
        <v>0.63825929843290474</v>
      </c>
      <c r="AJ17" s="170">
        <f t="shared" si="10"/>
        <v>14.130911598730023</v>
      </c>
      <c r="AK17" s="151">
        <f t="shared" si="11"/>
        <v>21.051018686424026</v>
      </c>
      <c r="AP17">
        <f>SUMPRODUCT(INDEX(Curvas!$B$3:$E$5,MATCH(AD17,Curvas!$A$3:$A$5,0),0),CHOOSE({1,2,3,4},AG17^3,AG17^2,AG17,1))</f>
        <v>22.139766131766738</v>
      </c>
      <c r="AQ17" s="103" t="s">
        <v>137</v>
      </c>
      <c r="AR17" s="96">
        <f>COUNT(AR6:AR15)</f>
        <v>10</v>
      </c>
      <c r="AS17" s="96">
        <f>COUNT(AS6:AS15)</f>
        <v>10</v>
      </c>
    </row>
    <row r="18" spans="4:57" ht="15" customHeight="1" x14ac:dyDescent="0.3">
      <c r="D18" s="11" t="s">
        <v>22</v>
      </c>
      <c r="E18" s="64">
        <v>25</v>
      </c>
      <c r="F18" s="60">
        <v>29</v>
      </c>
      <c r="G18" s="60">
        <v>30</v>
      </c>
      <c r="H18" s="60">
        <v>32</v>
      </c>
      <c r="I18" s="60">
        <v>32</v>
      </c>
      <c r="J18" s="60">
        <v>32</v>
      </c>
      <c r="K18" s="60">
        <v>32</v>
      </c>
      <c r="L18" s="60">
        <v>32</v>
      </c>
      <c r="M18" s="60">
        <v>32</v>
      </c>
      <c r="N18" s="60">
        <v>32</v>
      </c>
      <c r="O18" s="60">
        <v>32</v>
      </c>
      <c r="P18" s="60">
        <v>33</v>
      </c>
      <c r="Q18" s="60">
        <v>34</v>
      </c>
      <c r="R18" s="60">
        <v>34</v>
      </c>
      <c r="S18" s="60">
        <v>35</v>
      </c>
      <c r="T18" s="65">
        <v>38</v>
      </c>
      <c r="U18" s="55">
        <f t="shared" si="0"/>
        <v>32.125</v>
      </c>
      <c r="V18" s="7">
        <f t="shared" si="1"/>
        <v>28.912500000000001</v>
      </c>
      <c r="W18" s="37">
        <f t="shared" si="2"/>
        <v>35.337500000000006</v>
      </c>
      <c r="X18" s="9">
        <f t="shared" si="3"/>
        <v>32.214285714285715</v>
      </c>
      <c r="Y18" s="40">
        <f t="shared" si="4"/>
        <v>28.992857142857144</v>
      </c>
      <c r="Z18" s="43">
        <f t="shared" si="5"/>
        <v>35.43571428571429</v>
      </c>
      <c r="AB18" s="83">
        <v>6</v>
      </c>
      <c r="AC18" s="108" t="str">
        <f t="shared" si="6"/>
        <v>ES-13 (estaca 44-O)</v>
      </c>
      <c r="AD18" s="26">
        <v>0</v>
      </c>
      <c r="AE18" s="28">
        <f t="shared" si="8"/>
        <v>32.214285714285715</v>
      </c>
      <c r="AF18" s="219">
        <f t="shared" si="7"/>
        <v>0.98039215686274506</v>
      </c>
      <c r="AG18" s="28">
        <f t="shared" si="9"/>
        <v>31.582633053221286</v>
      </c>
      <c r="AH18" s="168">
        <f>SUMPRODUCT(INDEX(Curvas!$B$3:$E$5,MATCH(AD18,Curvas!$A$3:$A$5,0),0),CHOOSE({1,2,3,4},AG18^3,AG18^2,AG18,1))</f>
        <v>23.086361101305112</v>
      </c>
      <c r="AI18" s="169" cm="1">
        <f t="array" ref="AI18">SUMPRODUCT(TRANSPOSE($AM$6:$AM$12),CHOOSE({1,2,3,4,5,6,7},AH18^6,AH18^5,AH18^4,AH18^3,AH18^2,AH18,1))</f>
        <v>0.63332678476350401</v>
      </c>
      <c r="AJ18" s="170">
        <f t="shared" si="10"/>
        <v>14.621210848178794</v>
      </c>
      <c r="AK18" s="151">
        <f t="shared" si="11"/>
        <v>21.413107485810812</v>
      </c>
      <c r="AP18">
        <f>SUMPRODUCT(INDEX(Curvas!$B$3:$E$5,MATCH(AD18,Curvas!$A$3:$A$5,0),0),CHOOSE({1,2,3,4},AG18^3,AG18^2,AG18,1))</f>
        <v>23.086361101305112</v>
      </c>
      <c r="AQ18" s="256" t="s">
        <v>133</v>
      </c>
      <c r="AR18" s="257">
        <v>80</v>
      </c>
      <c r="AS18" s="257">
        <v>80</v>
      </c>
    </row>
    <row r="19" spans="4:57" ht="15" customHeight="1" x14ac:dyDescent="0.3">
      <c r="D19" s="11" t="s">
        <v>23</v>
      </c>
      <c r="E19" s="64">
        <v>29</v>
      </c>
      <c r="F19" s="60">
        <v>30</v>
      </c>
      <c r="G19" s="60">
        <v>30</v>
      </c>
      <c r="H19" s="60">
        <v>30</v>
      </c>
      <c r="I19" s="60">
        <v>31</v>
      </c>
      <c r="J19" s="60">
        <v>31</v>
      </c>
      <c r="K19" s="60">
        <v>32</v>
      </c>
      <c r="L19" s="60">
        <v>32</v>
      </c>
      <c r="M19" s="60">
        <v>33</v>
      </c>
      <c r="N19" s="60">
        <v>33</v>
      </c>
      <c r="O19" s="60">
        <v>34</v>
      </c>
      <c r="P19" s="60">
        <v>34</v>
      </c>
      <c r="Q19" s="60">
        <v>35</v>
      </c>
      <c r="R19" s="60">
        <v>35</v>
      </c>
      <c r="S19" s="60">
        <v>38</v>
      </c>
      <c r="T19" s="65">
        <v>47</v>
      </c>
      <c r="U19" s="55">
        <f t="shared" si="0"/>
        <v>33.375</v>
      </c>
      <c r="V19" s="7">
        <f t="shared" si="1"/>
        <v>30.037500000000001</v>
      </c>
      <c r="W19" s="37">
        <f t="shared" si="2"/>
        <v>36.712500000000006</v>
      </c>
      <c r="X19" s="9">
        <f t="shared" si="3"/>
        <v>33</v>
      </c>
      <c r="Y19" s="40">
        <f t="shared" si="4"/>
        <v>29.7</v>
      </c>
      <c r="Z19" s="43">
        <f t="shared" si="5"/>
        <v>36.300000000000004</v>
      </c>
      <c r="AB19" s="83">
        <v>6</v>
      </c>
      <c r="AC19" s="108" t="str">
        <f t="shared" si="6"/>
        <v>ES-14 (estaca 44-S)</v>
      </c>
      <c r="AD19" s="26">
        <v>0</v>
      </c>
      <c r="AE19" s="28">
        <f t="shared" si="8"/>
        <v>33</v>
      </c>
      <c r="AF19" s="219">
        <f t="shared" si="7"/>
        <v>0.98039215686274506</v>
      </c>
      <c r="AG19" s="28">
        <f t="shared" si="9"/>
        <v>32.352941176470587</v>
      </c>
      <c r="AH19" s="168">
        <f>SUMPRODUCT(INDEX(Curvas!$B$3:$E$5,MATCH(AD19,Curvas!$A$3:$A$5,0),0),CHOOSE({1,2,3,4},AG19^3,AG19^2,AG19,1))</f>
        <v>24.13334988029106</v>
      </c>
      <c r="AI19" s="169" cm="1">
        <f t="array" ref="AI19">SUMPRODUCT(TRANSPOSE($AM$6:$AM$12),CHOOSE({1,2,3,4,5,6,7},AH19^6,AH19^5,AH19^4,AH19^3,AH19^2,AH19,1))</f>
        <v>0.62826112185975003</v>
      </c>
      <c r="AJ19" s="170">
        <f t="shared" si="10"/>
        <v>15.162045470025525</v>
      </c>
      <c r="AK19" s="151">
        <f t="shared" si="11"/>
        <v>21.805543926717363</v>
      </c>
      <c r="AP19">
        <f>SUMPRODUCT(INDEX(Curvas!$B$3:$E$5,MATCH(AD19,Curvas!$A$3:$A$5,0),0),CHOOSE({1,2,3,4},AG19^3,AG19^2,AG19,1))</f>
        <v>24.13334988029106</v>
      </c>
      <c r="AQ19" s="256"/>
      <c r="AR19" s="257"/>
      <c r="AS19" s="257"/>
    </row>
    <row r="20" spans="4:57" ht="15" customHeight="1" thickBot="1" x14ac:dyDescent="0.35">
      <c r="D20" s="11" t="s">
        <v>24</v>
      </c>
      <c r="E20" s="64">
        <v>26</v>
      </c>
      <c r="F20" s="60">
        <v>29</v>
      </c>
      <c r="G20" s="60">
        <v>29</v>
      </c>
      <c r="H20" s="60">
        <v>29</v>
      </c>
      <c r="I20" s="60">
        <v>29</v>
      </c>
      <c r="J20" s="60">
        <v>29</v>
      </c>
      <c r="K20" s="60">
        <v>30</v>
      </c>
      <c r="L20" s="60">
        <v>30</v>
      </c>
      <c r="M20" s="60">
        <v>30</v>
      </c>
      <c r="N20" s="60">
        <v>30</v>
      </c>
      <c r="O20" s="60">
        <v>30</v>
      </c>
      <c r="P20" s="60">
        <v>31</v>
      </c>
      <c r="Q20" s="60">
        <v>32</v>
      </c>
      <c r="R20" s="60">
        <v>33</v>
      </c>
      <c r="S20" s="60">
        <v>34</v>
      </c>
      <c r="T20" s="65">
        <v>36</v>
      </c>
      <c r="U20" s="55">
        <f t="shared" si="0"/>
        <v>30.4375</v>
      </c>
      <c r="V20" s="7">
        <f t="shared" si="1"/>
        <v>27.393750000000001</v>
      </c>
      <c r="W20" s="37">
        <f t="shared" si="2"/>
        <v>33.481250000000003</v>
      </c>
      <c r="X20" s="9">
        <f t="shared" si="3"/>
        <v>30.076923076923077</v>
      </c>
      <c r="Y20" s="40">
        <f t="shared" si="4"/>
        <v>27.069230769230771</v>
      </c>
      <c r="Z20" s="43">
        <f t="shared" si="5"/>
        <v>33.08461538461539</v>
      </c>
      <c r="AB20" s="83">
        <v>6</v>
      </c>
      <c r="AC20" s="108" t="str">
        <f t="shared" si="6"/>
        <v>ES-15 (estaca 44-L)</v>
      </c>
      <c r="AD20" s="26">
        <v>0</v>
      </c>
      <c r="AE20" s="28">
        <f t="shared" si="8"/>
        <v>30.076923076923077</v>
      </c>
      <c r="AF20" s="219">
        <f t="shared" si="7"/>
        <v>0.98039215686274506</v>
      </c>
      <c r="AG20" s="28">
        <f t="shared" si="9"/>
        <v>29.487179487179485</v>
      </c>
      <c r="AH20" s="168">
        <f>SUMPRODUCT(INDEX(Curvas!$B$3:$E$5,MATCH(AD20,Curvas!$A$3:$A$5,0),0),CHOOSE({1,2,3,4},AG20^3,AG20^2,AG20,1))</f>
        <v>20.267633880827557</v>
      </c>
      <c r="AI20" s="169" cm="1">
        <f t="array" ref="AI20">SUMPRODUCT(TRANSPOSE($AM$6:$AM$12),CHOOSE({1,2,3,4,5,6,7},AH20^6,AH20^5,AH20^4,AH20^3,AH20^2,AH20,1))</f>
        <v>0.64883695091372307</v>
      </c>
      <c r="AJ20" s="170">
        <f t="shared" si="10"/>
        <v>13.15038976947182</v>
      </c>
      <c r="AK20" s="151">
        <f t="shared" si="11"/>
        <v>20.307541041953758</v>
      </c>
      <c r="AP20">
        <f>SUMPRODUCT(INDEX(Curvas!$B$3:$E$5,MATCH(AD20,Curvas!$A$3:$A$5,0),0),CHOOSE({1,2,3,4},AG20^3,AG20^2,AG20,1))</f>
        <v>20.267633880827557</v>
      </c>
      <c r="AQ20" s="104" t="s">
        <v>138</v>
      </c>
      <c r="AR20" s="97">
        <f>AR17*AR18/AR16</f>
        <v>0.98039215686274506</v>
      </c>
      <c r="AS20" s="97">
        <f>AS17*AS18/AS16</f>
        <v>0.97919216646266827</v>
      </c>
    </row>
    <row r="21" spans="4:57" ht="15" customHeight="1" x14ac:dyDescent="0.3">
      <c r="D21" s="11" t="s">
        <v>131</v>
      </c>
      <c r="E21" s="64">
        <v>20</v>
      </c>
      <c r="F21" s="60">
        <v>30</v>
      </c>
      <c r="G21" s="60">
        <v>31</v>
      </c>
      <c r="H21" s="60">
        <v>31</v>
      </c>
      <c r="I21" s="60">
        <v>31</v>
      </c>
      <c r="J21" s="60">
        <v>32</v>
      </c>
      <c r="K21" s="60">
        <v>32</v>
      </c>
      <c r="L21" s="60">
        <v>32</v>
      </c>
      <c r="M21" s="60">
        <v>32</v>
      </c>
      <c r="N21" s="60">
        <v>32</v>
      </c>
      <c r="O21" s="60">
        <v>32</v>
      </c>
      <c r="P21" s="60">
        <v>32</v>
      </c>
      <c r="Q21" s="60">
        <v>34</v>
      </c>
      <c r="R21" s="60">
        <v>34</v>
      </c>
      <c r="S21" s="60">
        <v>36</v>
      </c>
      <c r="T21" s="65">
        <v>38</v>
      </c>
      <c r="U21" s="55">
        <f t="shared" si="0"/>
        <v>31.8125</v>
      </c>
      <c r="V21" s="7">
        <f t="shared" si="1"/>
        <v>28.631250000000001</v>
      </c>
      <c r="W21" s="37">
        <f t="shared" si="2"/>
        <v>34.993750000000006</v>
      </c>
      <c r="X21" s="9">
        <f t="shared" si="3"/>
        <v>31.923076923076923</v>
      </c>
      <c r="Y21" s="40">
        <f t="shared" si="4"/>
        <v>28.73076923076923</v>
      </c>
      <c r="Z21" s="43">
        <f t="shared" si="5"/>
        <v>35.11538461538462</v>
      </c>
      <c r="AB21" s="84">
        <v>65.8</v>
      </c>
      <c r="AC21" s="129" t="str">
        <f t="shared" si="6"/>
        <v>ES-16b (estaca 24-N)</v>
      </c>
      <c r="AD21" s="26">
        <v>0</v>
      </c>
      <c r="AE21" s="28">
        <f t="shared" si="8"/>
        <v>31.923076923076923</v>
      </c>
      <c r="AF21" s="219">
        <f>$AS$20</f>
        <v>0.97919216646266827</v>
      </c>
      <c r="AG21" s="28">
        <f t="shared" si="9"/>
        <v>31.258826852462104</v>
      </c>
      <c r="AH21" s="168">
        <f>SUMPRODUCT(INDEX(Curvas!$B$3:$E$5,MATCH(AD21,Curvas!$A$3:$A$5,0),0),CHOOSE({1,2,3,4},AG21^3,AG21^2,AG21,1))</f>
        <v>22.648059275808794</v>
      </c>
      <c r="AI21" s="169" cm="1">
        <f t="array" ref="AI21">SUMPRODUCT(TRANSPOSE($AM$6:$AM$12),CHOOSE({1,2,3,4,5,6,7},AH21^6,AH21^5,AH21^4,AH21^3,AH21^2,AH21,1))</f>
        <v>0.63557119003201579</v>
      </c>
      <c r="AJ21" s="170">
        <f t="shared" si="10"/>
        <v>14.394453985841428</v>
      </c>
      <c r="AK21" s="151">
        <f t="shared" si="11"/>
        <v>21.246413273679565</v>
      </c>
      <c r="AP21">
        <f>SUMPRODUCT(INDEX(Curvas!$B$3:$E$5,MATCH(AD21,Curvas!$A$3:$A$5,0),0),CHOOSE({1,2,3,4},AG21^3,AG21^2,AG21,1))</f>
        <v>22.648059275808794</v>
      </c>
    </row>
    <row r="22" spans="4:57" ht="15" customHeight="1" x14ac:dyDescent="0.3">
      <c r="D22" s="11" t="s">
        <v>132</v>
      </c>
      <c r="E22" s="64">
        <v>32</v>
      </c>
      <c r="F22" s="60">
        <v>32</v>
      </c>
      <c r="G22" s="60">
        <v>33</v>
      </c>
      <c r="H22" s="60">
        <v>33</v>
      </c>
      <c r="I22" s="60">
        <v>33</v>
      </c>
      <c r="J22" s="60">
        <v>34</v>
      </c>
      <c r="K22" s="60">
        <v>34</v>
      </c>
      <c r="L22" s="60">
        <v>34</v>
      </c>
      <c r="M22" s="60">
        <v>34</v>
      </c>
      <c r="N22" s="60">
        <v>34</v>
      </c>
      <c r="O22" s="60">
        <v>35</v>
      </c>
      <c r="P22" s="60">
        <v>35</v>
      </c>
      <c r="Q22" s="60">
        <v>36</v>
      </c>
      <c r="R22" s="60">
        <v>36</v>
      </c>
      <c r="S22" s="60">
        <v>40</v>
      </c>
      <c r="T22" s="65">
        <v>42</v>
      </c>
      <c r="U22" s="55">
        <f>AVERAGE(E22:T22)</f>
        <v>34.8125</v>
      </c>
      <c r="V22" s="7">
        <f t="shared" si="1"/>
        <v>31.331250000000001</v>
      </c>
      <c r="W22" s="37">
        <f t="shared" si="2"/>
        <v>38.293750000000003</v>
      </c>
      <c r="X22" s="9">
        <f>AVERAGEIFS(E22:T22,E22:T22,"&gt;"&amp;V22, E22:T22, "&lt;"&amp;W22)</f>
        <v>33.928571428571431</v>
      </c>
      <c r="Y22" s="40">
        <f t="shared" si="4"/>
        <v>30.535714285714288</v>
      </c>
      <c r="Z22" s="43">
        <f t="shared" si="5"/>
        <v>37.321428571428577</v>
      </c>
      <c r="AB22" s="83">
        <v>6</v>
      </c>
      <c r="AC22" s="129" t="str">
        <f t="shared" si="6"/>
        <v>ES-17b (estaca 24-S)</v>
      </c>
      <c r="AD22" s="26">
        <v>0</v>
      </c>
      <c r="AE22" s="28">
        <f t="shared" si="8"/>
        <v>33.928571428571431</v>
      </c>
      <c r="AF22" s="219">
        <f>$AS$20</f>
        <v>0.97919216646266827</v>
      </c>
      <c r="AG22" s="28">
        <f t="shared" si="9"/>
        <v>33.222591362126245</v>
      </c>
      <c r="AH22" s="168">
        <f>SUMPRODUCT(INDEX(Curvas!$B$3:$E$5,MATCH(AD22,Curvas!$A$3:$A$5,0),0),CHOOSE({1,2,3,4},AG22^3,AG22^2,AG22,1))</f>
        <v>25.322989474082267</v>
      </c>
      <c r="AI22" s="169" cm="1">
        <f t="array" ref="AI22">SUMPRODUCT(TRANSPOSE($AM$6:$AM$12),CHOOSE({1,2,3,4,5,6,7},AH22^6,AH22^5,AH22^4,AH22^3,AH22^2,AH22,1))</f>
        <v>0.62304360021564476</v>
      </c>
      <c r="AJ22" s="170">
        <f t="shared" si="10"/>
        <v>15.777326530155092</v>
      </c>
      <c r="AK22" s="151">
        <f t="shared" si="11"/>
        <v>22.243582444958452</v>
      </c>
      <c r="AP22">
        <f>SUMPRODUCT(INDEX(Curvas!$B$3:$E$5,MATCH(AD22,Curvas!$A$3:$A$5,0),0),CHOOSE({1,2,3,4},AG22^3,AG22^2,AG22,1))</f>
        <v>25.322989474082267</v>
      </c>
    </row>
    <row r="23" spans="4:57" ht="15" customHeight="1" x14ac:dyDescent="0.3">
      <c r="D23" s="11" t="s">
        <v>27</v>
      </c>
      <c r="E23" s="64">
        <v>30</v>
      </c>
      <c r="F23" s="60">
        <v>32</v>
      </c>
      <c r="G23" s="60">
        <v>32</v>
      </c>
      <c r="H23" s="60">
        <v>32</v>
      </c>
      <c r="I23" s="60">
        <v>32</v>
      </c>
      <c r="J23" s="60">
        <v>33</v>
      </c>
      <c r="K23" s="60">
        <v>33</v>
      </c>
      <c r="L23" s="60">
        <v>34</v>
      </c>
      <c r="M23" s="60">
        <v>34</v>
      </c>
      <c r="N23" s="60">
        <v>34</v>
      </c>
      <c r="O23" s="60">
        <v>34</v>
      </c>
      <c r="P23" s="60">
        <v>36</v>
      </c>
      <c r="Q23" s="60">
        <v>36</v>
      </c>
      <c r="R23" s="60">
        <v>37</v>
      </c>
      <c r="S23" s="60">
        <v>37</v>
      </c>
      <c r="T23" s="65">
        <v>41</v>
      </c>
      <c r="U23" s="55">
        <f t="shared" si="0"/>
        <v>34.1875</v>
      </c>
      <c r="V23" s="7">
        <f t="shared" si="1"/>
        <v>30.768750000000001</v>
      </c>
      <c r="W23" s="37">
        <f t="shared" si="2"/>
        <v>37.606250000000003</v>
      </c>
      <c r="X23" s="9">
        <f t="shared" si="3"/>
        <v>34</v>
      </c>
      <c r="Y23" s="40">
        <f t="shared" si="4"/>
        <v>30.6</v>
      </c>
      <c r="Z23" s="43">
        <f t="shared" si="5"/>
        <v>37.400000000000006</v>
      </c>
      <c r="AB23" s="83">
        <v>6</v>
      </c>
      <c r="AC23" s="108" t="str">
        <f t="shared" si="6"/>
        <v>ES-18 (estaca 24-L)</v>
      </c>
      <c r="AD23" s="26">
        <v>0</v>
      </c>
      <c r="AE23" s="28">
        <f t="shared" si="8"/>
        <v>34</v>
      </c>
      <c r="AF23" s="219">
        <f>$AR$20</f>
        <v>0.98039215686274506</v>
      </c>
      <c r="AG23" s="28">
        <f t="shared" si="9"/>
        <v>33.333333333333329</v>
      </c>
      <c r="AH23" s="168">
        <f>SUMPRODUCT(INDEX(Curvas!$B$3:$E$5,MATCH(AD23,Curvas!$A$3:$A$5,0),0),CHOOSE({1,2,3,4},AG23^3,AG23^2,AG23,1))</f>
        <v>25.475082971481473</v>
      </c>
      <c r="AI23" s="169" cm="1">
        <f t="array" ref="AI23">SUMPRODUCT(TRANSPOSE($AM$6:$AM$12),CHOOSE({1,2,3,4,5,6,7},AH23^6,AH23^5,AH23^4,AH23^3,AH23^2,AH23,1))</f>
        <v>0.62241932126834554</v>
      </c>
      <c r="AJ23" s="170">
        <f t="shared" si="10"/>
        <v>15.856183852364286</v>
      </c>
      <c r="AK23" s="151">
        <f t="shared" si="11"/>
        <v>22.299101452976622</v>
      </c>
      <c r="AP23">
        <f>SUMPRODUCT(INDEX(Curvas!$B$3:$E$5,MATCH(AD23,Curvas!$A$3:$A$5,0),0),CHOOSE({1,2,3,4},AG23^3,AG23^2,AG23,1))</f>
        <v>25.475082971481473</v>
      </c>
    </row>
    <row r="24" spans="4:57" ht="15" customHeight="1" x14ac:dyDescent="0.3">
      <c r="D24" s="11" t="s">
        <v>28</v>
      </c>
      <c r="E24" s="64">
        <v>30</v>
      </c>
      <c r="F24" s="60">
        <v>31</v>
      </c>
      <c r="G24" s="60">
        <v>32</v>
      </c>
      <c r="H24" s="60">
        <v>32</v>
      </c>
      <c r="I24" s="60">
        <v>33</v>
      </c>
      <c r="J24" s="60">
        <v>34</v>
      </c>
      <c r="K24" s="60">
        <v>34</v>
      </c>
      <c r="L24" s="60">
        <v>34</v>
      </c>
      <c r="M24" s="60">
        <v>35</v>
      </c>
      <c r="N24" s="60">
        <v>35</v>
      </c>
      <c r="O24" s="60">
        <v>36</v>
      </c>
      <c r="P24" s="60">
        <v>36</v>
      </c>
      <c r="Q24" s="60">
        <v>36</v>
      </c>
      <c r="R24" s="60">
        <v>36</v>
      </c>
      <c r="S24" s="60">
        <v>36</v>
      </c>
      <c r="T24" s="65">
        <v>40</v>
      </c>
      <c r="U24" s="55">
        <f t="shared" si="0"/>
        <v>34.375</v>
      </c>
      <c r="V24" s="7">
        <f t="shared" si="1"/>
        <v>30.9375</v>
      </c>
      <c r="W24" s="37">
        <f t="shared" si="2"/>
        <v>37.8125</v>
      </c>
      <c r="X24" s="9">
        <f t="shared" si="3"/>
        <v>34.285714285714285</v>
      </c>
      <c r="Y24" s="40">
        <f t="shared" si="4"/>
        <v>30.857142857142858</v>
      </c>
      <c r="Z24" s="43">
        <f t="shared" si="5"/>
        <v>37.714285714285715</v>
      </c>
      <c r="AB24" s="85">
        <v>51.3</v>
      </c>
      <c r="AC24" s="108" t="str">
        <f t="shared" si="6"/>
        <v>ES-19 (capitel estaca 71-N)</v>
      </c>
      <c r="AD24" s="26">
        <v>0</v>
      </c>
      <c r="AE24" s="28">
        <f t="shared" si="8"/>
        <v>34.285714285714285</v>
      </c>
      <c r="AF24" s="219">
        <f t="shared" ref="AF24:AF32" si="12">$AS$20</f>
        <v>0.97919216646266827</v>
      </c>
      <c r="AG24" s="28">
        <f t="shared" si="9"/>
        <v>33.572302850148624</v>
      </c>
      <c r="AH24" s="168">
        <f>SUMPRODUCT(INDEX(Curvas!$B$3:$E$5,MATCH(AD24,Curvas!$A$3:$A$5,0),0),CHOOSE({1,2,3,4},AG24^3,AG24^2,AG24,1))</f>
        <v>25.8037619430057</v>
      </c>
      <c r="AI24" s="169" cm="1">
        <f t="array" ref="AI24">SUMPRODUCT(TRANSPOSE($AM$6:$AM$12),CHOOSE({1,2,3,4,5,6,7},AH24^6,AH24^5,AH24^4,AH24^3,AH24^2,AH24,1))</f>
        <v>0.62110380727567138</v>
      </c>
      <c r="AJ24" s="170">
        <f t="shared" si="10"/>
        <v>16.026814784835917</v>
      </c>
      <c r="AK24" s="151">
        <f t="shared" si="11"/>
        <v>22.418762491548332</v>
      </c>
      <c r="AP24">
        <f>SUMPRODUCT(INDEX(Curvas!$B$3:$E$5,MATCH(AD24,Curvas!$A$3:$A$5,0),0),CHOOSE({1,2,3,4},AG24^3,AG24^2,AG24,1))</f>
        <v>25.8037619430057</v>
      </c>
    </row>
    <row r="25" spans="4:57" ht="15" customHeight="1" x14ac:dyDescent="0.3">
      <c r="D25" s="11" t="s">
        <v>29</v>
      </c>
      <c r="E25" s="64">
        <v>33</v>
      </c>
      <c r="F25" s="60">
        <v>34</v>
      </c>
      <c r="G25" s="60">
        <v>35</v>
      </c>
      <c r="H25" s="60">
        <v>35</v>
      </c>
      <c r="I25" s="60">
        <v>35</v>
      </c>
      <c r="J25" s="60">
        <v>36</v>
      </c>
      <c r="K25" s="60">
        <v>36</v>
      </c>
      <c r="L25" s="60">
        <v>36</v>
      </c>
      <c r="M25" s="60">
        <v>36</v>
      </c>
      <c r="N25" s="60">
        <v>36</v>
      </c>
      <c r="O25" s="60">
        <v>37</v>
      </c>
      <c r="P25" s="60">
        <v>38</v>
      </c>
      <c r="Q25" s="60">
        <v>38</v>
      </c>
      <c r="R25" s="60">
        <v>39</v>
      </c>
      <c r="S25" s="60">
        <v>39</v>
      </c>
      <c r="T25" s="65">
        <v>40</v>
      </c>
      <c r="U25" s="55">
        <f t="shared" si="0"/>
        <v>36.4375</v>
      </c>
      <c r="V25" s="7">
        <f t="shared" si="1"/>
        <v>32.793750000000003</v>
      </c>
      <c r="W25" s="37">
        <f t="shared" si="2"/>
        <v>40.081250000000004</v>
      </c>
      <c r="X25" s="9">
        <f t="shared" si="3"/>
        <v>36.4375</v>
      </c>
      <c r="Y25" s="40">
        <f t="shared" si="4"/>
        <v>32.793750000000003</v>
      </c>
      <c r="Z25" s="43">
        <f t="shared" si="5"/>
        <v>40.081250000000004</v>
      </c>
      <c r="AB25" s="83">
        <v>6</v>
      </c>
      <c r="AC25" s="108" t="str">
        <f t="shared" si="6"/>
        <v>ES-20 (capitel estaca 71-S)</v>
      </c>
      <c r="AD25" s="26">
        <v>0</v>
      </c>
      <c r="AE25" s="28">
        <f t="shared" si="8"/>
        <v>36.4375</v>
      </c>
      <c r="AF25" s="219">
        <f t="shared" si="12"/>
        <v>0.97919216646266827</v>
      </c>
      <c r="AG25" s="28">
        <f t="shared" si="9"/>
        <v>35.679314565483473</v>
      </c>
      <c r="AH25" s="168">
        <f>SUMPRODUCT(INDEX(Curvas!$B$3:$E$5,MATCH(AD25,Curvas!$A$3:$A$5,0),0),CHOOSE({1,2,3,4},AG25^3,AG25^2,AG25,1))</f>
        <v>28.731457164570205</v>
      </c>
      <c r="AI25" s="169" cm="1">
        <f t="array" ref="AI25">SUMPRODUCT(TRANSPOSE($AM$6:$AM$12),CHOOSE({1,2,3,4,5,6,7},AH25^6,AH25^5,AH25^4,AH25^3,AH25^2,AH25,1))</f>
        <v>0.61140531131672127</v>
      </c>
      <c r="AJ25" s="170">
        <f t="shared" si="10"/>
        <v>17.566565512287088</v>
      </c>
      <c r="AK25" s="151">
        <f t="shared" si="11"/>
        <v>23.470992617810669</v>
      </c>
      <c r="AP25">
        <f>SUMPRODUCT(INDEX(Curvas!$B$3:$E$5,MATCH(AD25,Curvas!$A$3:$A$5,0),0),CHOOSE({1,2,3,4},AG25^3,AG25^2,AG25,1))</f>
        <v>28.731457164570205</v>
      </c>
      <c r="AQ25" s="19">
        <v>-6.5133300000000003E-3</v>
      </c>
      <c r="AR25" s="19">
        <v>1.4013220900000001</v>
      </c>
      <c r="AS25" s="21">
        <v>-18.52010151</v>
      </c>
    </row>
    <row r="26" spans="4:57" ht="15" customHeight="1" x14ac:dyDescent="0.3">
      <c r="D26" s="11" t="s">
        <v>30</v>
      </c>
      <c r="E26" s="64">
        <v>32</v>
      </c>
      <c r="F26" s="60">
        <v>33</v>
      </c>
      <c r="G26" s="60">
        <v>33</v>
      </c>
      <c r="H26" s="60">
        <v>33</v>
      </c>
      <c r="I26" s="60">
        <v>34</v>
      </c>
      <c r="J26" s="60">
        <v>34</v>
      </c>
      <c r="K26" s="60">
        <v>34</v>
      </c>
      <c r="L26" s="60">
        <v>35</v>
      </c>
      <c r="M26" s="60">
        <v>36</v>
      </c>
      <c r="N26" s="60">
        <v>37</v>
      </c>
      <c r="O26" s="60">
        <v>37</v>
      </c>
      <c r="P26" s="60">
        <v>37</v>
      </c>
      <c r="Q26" s="60">
        <v>37</v>
      </c>
      <c r="R26" s="60">
        <v>38</v>
      </c>
      <c r="S26" s="60">
        <v>38</v>
      </c>
      <c r="T26" s="65">
        <v>39</v>
      </c>
      <c r="U26" s="55">
        <f t="shared" si="0"/>
        <v>35.4375</v>
      </c>
      <c r="V26" s="7">
        <f t="shared" si="1"/>
        <v>31.893750000000001</v>
      </c>
      <c r="W26" s="37">
        <f t="shared" si="2"/>
        <v>38.981250000000003</v>
      </c>
      <c r="X26" s="9">
        <f t="shared" si="3"/>
        <v>35.200000000000003</v>
      </c>
      <c r="Y26" s="40">
        <f t="shared" si="4"/>
        <v>31.680000000000003</v>
      </c>
      <c r="Z26" s="43">
        <f t="shared" si="5"/>
        <v>38.720000000000006</v>
      </c>
      <c r="AB26" s="84">
        <v>42.8</v>
      </c>
      <c r="AC26" s="108" t="str">
        <f t="shared" si="6"/>
        <v>ES-21 (capitel estaca 60-N)</v>
      </c>
      <c r="AD26" s="26">
        <v>0</v>
      </c>
      <c r="AE26" s="28">
        <f t="shared" si="8"/>
        <v>35.200000000000003</v>
      </c>
      <c r="AF26" s="219">
        <f t="shared" si="12"/>
        <v>0.97919216646266827</v>
      </c>
      <c r="AG26" s="28">
        <f t="shared" si="9"/>
        <v>34.467564259485926</v>
      </c>
      <c r="AH26" s="168">
        <f>SUMPRODUCT(INDEX(Curvas!$B$3:$E$5,MATCH(AD26,Curvas!$A$3:$A$5,0),0),CHOOSE({1,2,3,4},AG26^3,AG26^2,AG26,1))</f>
        <v>27.041058386564774</v>
      </c>
      <c r="AI26" s="169" cm="1">
        <f t="array" ref="AI26">SUMPRODUCT(TRANSPOSE($AM$6:$AM$12),CHOOSE({1,2,3,4,5,6,7},AH26^6,AH26^5,AH26^4,AH26^3,AH26^2,AH26,1))</f>
        <v>0.61656475899802476</v>
      </c>
      <c r="AJ26" s="170">
        <f t="shared" si="10"/>
        <v>16.672563647163827</v>
      </c>
      <c r="AK26" s="151">
        <f t="shared" si="11"/>
        <v>22.8659483943933</v>
      </c>
    </row>
    <row r="27" spans="4:57" x14ac:dyDescent="0.3">
      <c r="D27" s="161" t="s">
        <v>223</v>
      </c>
      <c r="E27" s="64">
        <v>37</v>
      </c>
      <c r="F27" s="60">
        <v>39</v>
      </c>
      <c r="G27" s="60">
        <v>40</v>
      </c>
      <c r="H27" s="60">
        <v>41</v>
      </c>
      <c r="I27" s="60">
        <v>42</v>
      </c>
      <c r="J27" s="60">
        <v>42</v>
      </c>
      <c r="K27" s="60">
        <v>42</v>
      </c>
      <c r="L27" s="60">
        <v>42</v>
      </c>
      <c r="M27" s="60">
        <v>43</v>
      </c>
      <c r="N27" s="60">
        <v>43</v>
      </c>
      <c r="O27" s="60">
        <v>43</v>
      </c>
      <c r="P27" s="60">
        <v>43</v>
      </c>
      <c r="Q27" s="60">
        <v>44</v>
      </c>
      <c r="R27" s="60">
        <v>44</v>
      </c>
      <c r="S27" s="60">
        <v>44</v>
      </c>
      <c r="T27" s="65">
        <v>44</v>
      </c>
      <c r="U27" s="162">
        <f t="shared" si="0"/>
        <v>42.0625</v>
      </c>
      <c r="V27" s="163">
        <f t="shared" si="1"/>
        <v>37.856250000000003</v>
      </c>
      <c r="W27" s="164">
        <f t="shared" si="2"/>
        <v>46.268750000000004</v>
      </c>
      <c r="X27" s="165">
        <f t="shared" si="3"/>
        <v>42.4</v>
      </c>
      <c r="Y27" s="166">
        <f t="shared" si="4"/>
        <v>38.159999999999997</v>
      </c>
      <c r="Z27" s="167">
        <f t="shared" si="5"/>
        <v>46.64</v>
      </c>
      <c r="AB27" s="84">
        <v>52.8</v>
      </c>
      <c r="AC27" s="108" t="str">
        <f t="shared" si="6"/>
        <v>ES-22 (fundo da laje-PLE02)</v>
      </c>
      <c r="AD27" s="26">
        <v>-90</v>
      </c>
      <c r="AE27" s="28">
        <f t="shared" si="8"/>
        <v>42.4</v>
      </c>
      <c r="AF27" s="219">
        <f t="shared" si="12"/>
        <v>0.97919216646266827</v>
      </c>
      <c r="AG27" s="28">
        <f t="shared" si="9"/>
        <v>41.517747858017131</v>
      </c>
      <c r="AH27" s="168">
        <f>SUMPRODUCT(INDEX(Curvas!$B$3:$E$5,MATCH(AD27,Curvas!$A$3:$A$5,0),0),CHOOSE({1,2,3,4},AG27^3,AG27^2,AG27,1))</f>
        <v>30.89024508362894</v>
      </c>
      <c r="AI27" s="169" cm="1">
        <f t="array" ref="AI27">SUMPRODUCT(TRANSPOSE($AM$6:$AM$12),CHOOSE({1,2,3,4,5,6,7},AH27^6,AH27^5,AH27^4,AH27^3,AH27^2,AH27,1))</f>
        <v>0.60646002160768586</v>
      </c>
      <c r="AJ27" s="170">
        <f t="shared" si="10"/>
        <v>18.733698700884318</v>
      </c>
      <c r="AK27" s="151">
        <f t="shared" si="11"/>
        <v>24.238168067321677</v>
      </c>
      <c r="BD27" s="250" t="s">
        <v>171</v>
      </c>
      <c r="BE27" s="250" t="s">
        <v>157</v>
      </c>
    </row>
    <row r="28" spans="4:57" x14ac:dyDescent="0.3">
      <c r="D28" s="11" t="s">
        <v>183</v>
      </c>
      <c r="E28" s="64">
        <v>38</v>
      </c>
      <c r="F28" s="60">
        <v>39</v>
      </c>
      <c r="G28" s="60">
        <v>40</v>
      </c>
      <c r="H28" s="60">
        <v>41</v>
      </c>
      <c r="I28" s="60">
        <v>42</v>
      </c>
      <c r="J28" s="60">
        <v>42</v>
      </c>
      <c r="K28" s="60">
        <v>42</v>
      </c>
      <c r="L28" s="60">
        <v>43</v>
      </c>
      <c r="M28" s="60">
        <v>43</v>
      </c>
      <c r="N28" s="60">
        <v>43</v>
      </c>
      <c r="O28" s="60">
        <v>43</v>
      </c>
      <c r="P28" s="60">
        <v>44</v>
      </c>
      <c r="Q28" s="60">
        <v>44</v>
      </c>
      <c r="R28" s="60">
        <v>45</v>
      </c>
      <c r="S28" s="60">
        <v>46</v>
      </c>
      <c r="T28" s="65">
        <v>47</v>
      </c>
      <c r="U28" s="55">
        <f t="shared" ref="U28:U32" si="13">AVERAGE(E28:T28)</f>
        <v>42.625</v>
      </c>
      <c r="V28" s="7">
        <f t="shared" ref="V28:V32" si="14">U28*0.9</f>
        <v>38.362500000000004</v>
      </c>
      <c r="W28" s="37">
        <f t="shared" ref="W28:W32" si="15">U28*1.1</f>
        <v>46.887500000000003</v>
      </c>
      <c r="X28" s="9">
        <f t="shared" ref="X28:X32" si="16">AVERAGEIFS(E28:T28,E28:T28,"&gt;"&amp;V28, E28:T28, "&lt;"&amp;W28)</f>
        <v>42.642857142857146</v>
      </c>
      <c r="Y28" s="40">
        <f t="shared" ref="Y28:Y32" si="17">X28*0.9</f>
        <v>38.378571428571433</v>
      </c>
      <c r="Z28" s="43">
        <f t="shared" ref="Z28:Z32" si="18">X28*1.1</f>
        <v>46.907142857142865</v>
      </c>
      <c r="AB28" s="83">
        <v>6</v>
      </c>
      <c r="AC28" s="108" t="str">
        <f t="shared" si="6"/>
        <v>ES-23 (bloco de fundação-CP08)</v>
      </c>
      <c r="AD28" s="26">
        <v>0</v>
      </c>
      <c r="AE28" s="28">
        <f t="shared" si="8"/>
        <v>42.642857142857146</v>
      </c>
      <c r="AF28" s="219">
        <f t="shared" si="12"/>
        <v>0.97919216646266827</v>
      </c>
      <c r="AG28" s="28">
        <f t="shared" si="9"/>
        <v>41.755551669872354</v>
      </c>
      <c r="AH28" s="168">
        <f>SUMPRODUCT(INDEX(Curvas!$B$3:$E$5,MATCH(AD28,Curvas!$A$3:$A$5,0),0),CHOOSE({1,2,3,4},AG28^3,AG28^2,AG28,1))</f>
        <v>37.52436981753668</v>
      </c>
      <c r="AI28" s="169" cm="1">
        <f t="array" ref="AI28">SUMPRODUCT(TRANSPOSE($AM$6:$AM$12),CHOOSE({1,2,3,4,5,6,7},AH28^6,AH28^5,AH28^4,AH28^3,AH28^2,AH28,1))</f>
        <v>0.59999468058351613</v>
      </c>
      <c r="AJ28" s="170">
        <f t="shared" si="10"/>
        <v>22.514422282770653</v>
      </c>
      <c r="AK28" s="151">
        <f t="shared" si="11"/>
        <v>26.571644337294739</v>
      </c>
      <c r="BD28" s="250"/>
      <c r="BE28" s="250"/>
    </row>
    <row r="29" spans="4:57" x14ac:dyDescent="0.3">
      <c r="D29" s="11" t="s">
        <v>184</v>
      </c>
      <c r="E29" s="64">
        <v>42</v>
      </c>
      <c r="F29" s="60">
        <v>46</v>
      </c>
      <c r="G29" s="60">
        <v>46</v>
      </c>
      <c r="H29" s="60">
        <v>46</v>
      </c>
      <c r="I29" s="60">
        <v>46</v>
      </c>
      <c r="J29" s="60">
        <v>47</v>
      </c>
      <c r="K29" s="60">
        <v>47</v>
      </c>
      <c r="L29" s="60">
        <v>48</v>
      </c>
      <c r="M29" s="60">
        <v>48</v>
      </c>
      <c r="N29" s="60">
        <v>48</v>
      </c>
      <c r="O29" s="60">
        <v>48</v>
      </c>
      <c r="P29" s="60">
        <v>48</v>
      </c>
      <c r="Q29" s="60">
        <v>49</v>
      </c>
      <c r="R29" s="60">
        <v>50</v>
      </c>
      <c r="S29" s="60">
        <v>50</v>
      </c>
      <c r="T29" s="65">
        <v>55</v>
      </c>
      <c r="U29" s="55">
        <f t="shared" si="13"/>
        <v>47.75</v>
      </c>
      <c r="V29" s="7">
        <f t="shared" si="14"/>
        <v>42.975000000000001</v>
      </c>
      <c r="W29" s="37">
        <f t="shared" si="15"/>
        <v>52.525000000000006</v>
      </c>
      <c r="X29" s="9">
        <f t="shared" si="16"/>
        <v>47.642857142857146</v>
      </c>
      <c r="Y29" s="40">
        <f t="shared" si="17"/>
        <v>42.878571428571433</v>
      </c>
      <c r="Z29" s="43">
        <f t="shared" si="18"/>
        <v>52.407142857142865</v>
      </c>
      <c r="AB29" s="83">
        <v>6</v>
      </c>
      <c r="AC29" s="108" t="str">
        <f t="shared" si="6"/>
        <v>ES-24 (fundo da laje-PLE04)</v>
      </c>
      <c r="AD29" s="26">
        <v>-90</v>
      </c>
      <c r="AE29" s="28">
        <f t="shared" si="8"/>
        <v>47.642857142857146</v>
      </c>
      <c r="AF29" s="219">
        <f t="shared" si="12"/>
        <v>0.97919216646266827</v>
      </c>
      <c r="AG29" s="28">
        <f t="shared" si="9"/>
        <v>46.651512502185696</v>
      </c>
      <c r="AH29" s="168">
        <f>SUMPRODUCT(INDEX(Curvas!$B$3:$E$5,MATCH(AD29,Curvas!$A$3:$A$5,0),0),CHOOSE({1,2,3,4},AG29^3,AG29^2,AG29,1))</f>
        <v>38.532330567174682</v>
      </c>
      <c r="AI29" s="169" cm="1">
        <f t="array" ref="AI29">SUMPRODUCT(TRANSPOSE($AM$6:$AM$12),CHOOSE({1,2,3,4,5,6,7},AH29^6,AH29^5,AH29^4,AH29^3,AH29^2,AH29,1))</f>
        <v>0.59976184225147189</v>
      </c>
      <c r="AJ29" s="170">
        <f t="shared" si="10"/>
        <v>23.11022156721139</v>
      </c>
      <c r="AK29" s="151">
        <f t="shared" si="11"/>
        <v>26.920931416794428</v>
      </c>
      <c r="AM29" s="116"/>
      <c r="AN29" s="116"/>
      <c r="AO29" s="116"/>
      <c r="AP29" s="262"/>
      <c r="BD29" s="19"/>
      <c r="BE29" s="19"/>
    </row>
    <row r="30" spans="4:57" x14ac:dyDescent="0.3">
      <c r="D30" s="11" t="s">
        <v>185</v>
      </c>
      <c r="E30" s="64">
        <v>41</v>
      </c>
      <c r="F30" s="60">
        <v>41</v>
      </c>
      <c r="G30" s="60">
        <v>41</v>
      </c>
      <c r="H30" s="60">
        <v>42</v>
      </c>
      <c r="I30" s="60">
        <v>42</v>
      </c>
      <c r="J30" s="60">
        <v>43</v>
      </c>
      <c r="K30" s="60">
        <v>44</v>
      </c>
      <c r="L30" s="60">
        <v>44</v>
      </c>
      <c r="M30" s="60">
        <v>44</v>
      </c>
      <c r="N30" s="60">
        <v>46</v>
      </c>
      <c r="O30" s="60">
        <v>48</v>
      </c>
      <c r="P30" s="60">
        <v>48</v>
      </c>
      <c r="Q30" s="60">
        <v>48</v>
      </c>
      <c r="R30" s="60">
        <v>50</v>
      </c>
      <c r="S30" s="60">
        <v>50</v>
      </c>
      <c r="T30" s="65">
        <v>50</v>
      </c>
      <c r="U30" s="55">
        <f t="shared" si="13"/>
        <v>45.125</v>
      </c>
      <c r="V30" s="7">
        <f t="shared" si="14"/>
        <v>40.612500000000004</v>
      </c>
      <c r="W30" s="37">
        <f t="shared" si="15"/>
        <v>49.637500000000003</v>
      </c>
      <c r="X30" s="9">
        <f t="shared" si="16"/>
        <v>44</v>
      </c>
      <c r="Y30" s="40">
        <f t="shared" si="17"/>
        <v>39.6</v>
      </c>
      <c r="Z30" s="43">
        <f t="shared" si="18"/>
        <v>48.400000000000006</v>
      </c>
      <c r="AB30" s="83">
        <v>6</v>
      </c>
      <c r="AC30" s="108" t="str">
        <f t="shared" si="6"/>
        <v>ES-25 (fundo da laje-PLE03)</v>
      </c>
      <c r="AD30" s="26">
        <v>-90</v>
      </c>
      <c r="AE30" s="28">
        <f t="shared" si="8"/>
        <v>44</v>
      </c>
      <c r="AF30" s="219">
        <f t="shared" si="12"/>
        <v>0.97919216646266827</v>
      </c>
      <c r="AG30" s="28">
        <f t="shared" si="9"/>
        <v>43.084455324357407</v>
      </c>
      <c r="AH30" s="168">
        <f>SUMPRODUCT(INDEX(Curvas!$B$3:$E$5,MATCH(AD30,Curvas!$A$3:$A$5,0),0),CHOOSE({1,2,3,4},AG30^3,AG30^2,AG30,1))</f>
        <v>33.16124022187519</v>
      </c>
      <c r="AI30" s="169" cm="1">
        <f t="array" ref="AI30">SUMPRODUCT(TRANSPOSE($AM$6:$AM$12),CHOOSE({1,2,3,4,5,6,7},AH30^6,AH30^5,AH30^4,AH30^3,AH30^2,AH30,1))</f>
        <v>0.6029941204125786</v>
      </c>
      <c r="AJ30" s="170">
        <f t="shared" si="10"/>
        <v>19.996032879379854</v>
      </c>
      <c r="AK30" s="151">
        <f t="shared" si="11"/>
        <v>25.04147741442889</v>
      </c>
      <c r="AM30" s="116"/>
      <c r="AN30" s="116"/>
      <c r="AO30" s="116"/>
      <c r="AP30" s="262"/>
      <c r="BD30" s="19"/>
      <c r="BE30" s="19"/>
    </row>
    <row r="31" spans="4:57" ht="15" thickBot="1" x14ac:dyDescent="0.35">
      <c r="D31" s="11" t="s">
        <v>186</v>
      </c>
      <c r="E31" s="64">
        <v>40</v>
      </c>
      <c r="F31" s="60">
        <v>41</v>
      </c>
      <c r="G31" s="60">
        <v>43</v>
      </c>
      <c r="H31" s="60">
        <v>43</v>
      </c>
      <c r="I31" s="60">
        <v>43</v>
      </c>
      <c r="J31" s="60">
        <v>44</v>
      </c>
      <c r="K31" s="60">
        <v>44</v>
      </c>
      <c r="L31" s="60">
        <v>45</v>
      </c>
      <c r="M31" s="60">
        <v>48</v>
      </c>
      <c r="N31" s="60">
        <v>48</v>
      </c>
      <c r="O31" s="60">
        <v>48</v>
      </c>
      <c r="P31" s="60">
        <v>48</v>
      </c>
      <c r="Q31" s="60">
        <v>49</v>
      </c>
      <c r="R31" s="60">
        <v>49</v>
      </c>
      <c r="S31" s="60">
        <v>50</v>
      </c>
      <c r="T31" s="65">
        <v>59</v>
      </c>
      <c r="U31" s="55">
        <f t="shared" si="13"/>
        <v>46.375</v>
      </c>
      <c r="V31" s="7">
        <f t="shared" si="14"/>
        <v>41.737500000000004</v>
      </c>
      <c r="W31" s="37">
        <f t="shared" si="15"/>
        <v>51.012500000000003</v>
      </c>
      <c r="X31" s="9">
        <f t="shared" si="16"/>
        <v>46.307692307692307</v>
      </c>
      <c r="Y31" s="40">
        <f t="shared" si="17"/>
        <v>41.676923076923075</v>
      </c>
      <c r="Z31" s="43">
        <f t="shared" si="18"/>
        <v>50.938461538461539</v>
      </c>
      <c r="AB31" s="83">
        <v>6</v>
      </c>
      <c r="AC31" s="108" t="str">
        <f t="shared" si="6"/>
        <v>ES-26 (fundo da laje-PLE01)</v>
      </c>
      <c r="AD31" s="26">
        <v>-90</v>
      </c>
      <c r="AE31" s="28">
        <f t="shared" si="8"/>
        <v>46.307692307692307</v>
      </c>
      <c r="AF31" s="219">
        <f t="shared" si="12"/>
        <v>0.97919216646266827</v>
      </c>
      <c r="AG31" s="28">
        <f t="shared" si="9"/>
        <v>45.344129554655865</v>
      </c>
      <c r="AH31" s="168">
        <f>SUMPRODUCT(INDEX(Curvas!$B$3:$E$5,MATCH(AD31,Curvas!$A$3:$A$5,0),0),CHOOSE({1,2,3,4},AG31^3,AG31^2,AG31,1))</f>
        <v>36.528285615417957</v>
      </c>
      <c r="AI31" s="169" cm="1">
        <f t="array" ref="AI31">SUMPRODUCT(TRANSPOSE($AM$6:$AM$12),CHOOSE({1,2,3,4,5,6,7},AH31^6,AH31^5,AH31^4,AH31^3,AH31^2,AH31,1))</f>
        <v>0.6003592692796742</v>
      </c>
      <c r="AJ31" s="170">
        <f t="shared" si="10"/>
        <v>21.930094860111559</v>
      </c>
      <c r="AK31" s="151">
        <f t="shared" si="11"/>
        <v>26.224564339815036</v>
      </c>
      <c r="AM31" s="117"/>
      <c r="AN31" s="117"/>
      <c r="AO31" s="117"/>
      <c r="AP31" s="263"/>
      <c r="BD31" s="19"/>
      <c r="BE31" s="19"/>
    </row>
    <row r="32" spans="4:57" ht="15" thickBot="1" x14ac:dyDescent="0.35">
      <c r="D32" s="12" t="s">
        <v>187</v>
      </c>
      <c r="E32" s="66">
        <v>39</v>
      </c>
      <c r="F32" s="67">
        <v>39</v>
      </c>
      <c r="G32" s="67">
        <v>41</v>
      </c>
      <c r="H32" s="67">
        <v>41</v>
      </c>
      <c r="I32" s="67">
        <v>43</v>
      </c>
      <c r="J32" s="67">
        <v>43</v>
      </c>
      <c r="K32" s="67">
        <v>43</v>
      </c>
      <c r="L32" s="67">
        <v>43</v>
      </c>
      <c r="M32" s="67">
        <v>43</v>
      </c>
      <c r="N32" s="67">
        <v>43</v>
      </c>
      <c r="O32" s="67">
        <v>44</v>
      </c>
      <c r="P32" s="67">
        <v>44</v>
      </c>
      <c r="Q32" s="67">
        <v>44</v>
      </c>
      <c r="R32" s="67">
        <v>44</v>
      </c>
      <c r="S32" s="67">
        <v>45</v>
      </c>
      <c r="T32" s="68">
        <v>45</v>
      </c>
      <c r="U32" s="56">
        <f t="shared" si="13"/>
        <v>42.75</v>
      </c>
      <c r="V32" s="8">
        <f t="shared" si="14"/>
        <v>38.475000000000001</v>
      </c>
      <c r="W32" s="38">
        <f t="shared" si="15"/>
        <v>47.025000000000006</v>
      </c>
      <c r="X32" s="10">
        <f t="shared" si="16"/>
        <v>42.75</v>
      </c>
      <c r="Y32" s="41">
        <f t="shared" si="17"/>
        <v>38.475000000000001</v>
      </c>
      <c r="Z32" s="44">
        <f t="shared" si="18"/>
        <v>47.025000000000006</v>
      </c>
      <c r="AB32" s="83">
        <v>6</v>
      </c>
      <c r="AC32" s="220" t="str">
        <f t="shared" si="6"/>
        <v>ES-27 (bloco de fundação-CP09)</v>
      </c>
      <c r="AD32" s="90">
        <v>0</v>
      </c>
      <c r="AE32" s="221">
        <f t="shared" si="8"/>
        <v>42.75</v>
      </c>
      <c r="AF32" s="222">
        <f t="shared" si="12"/>
        <v>0.97919216646266827</v>
      </c>
      <c r="AG32" s="221">
        <f t="shared" si="9"/>
        <v>41.860465116279066</v>
      </c>
      <c r="AH32" s="223">
        <f>SUMPRODUCT(INDEX(Curvas!$B$3:$E$5,MATCH(AD32,Curvas!$A$3:$A$5,0),0),CHOOSE({1,2,3,4},AG32^3,AG32^2,AG32,1))</f>
        <v>37.681410361130844</v>
      </c>
      <c r="AI32" s="224" cm="1">
        <f t="array" ref="AI32">SUMPRODUCT(TRANSPOSE($AM$6:$AM$12),CHOOSE({1,2,3,4,5,6,7},AH32^6,AH32^5,AH32^4,AH32^3,AH32^2,AH32,1))</f>
        <v>0.59995015739965418</v>
      </c>
      <c r="AJ32" s="225">
        <f t="shared" si="10"/>
        <v>22.606968077201408</v>
      </c>
      <c r="AK32" s="226">
        <f t="shared" si="11"/>
        <v>26.626199858429594</v>
      </c>
      <c r="BD32" s="19"/>
      <c r="BE32" s="19"/>
    </row>
    <row r="33" spans="4:57" ht="15" thickBot="1" x14ac:dyDescent="0.35"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AB33" s="35"/>
      <c r="AC33" s="258" t="s">
        <v>265</v>
      </c>
      <c r="AD33" s="259"/>
      <c r="AE33" s="227">
        <f>AVERAGE(AE6:AE32)</f>
        <v>36.246457400624067</v>
      </c>
      <c r="AF33" s="227"/>
      <c r="AG33" s="227">
        <f t="shared" ref="AG33:AK33" si="19">AVERAGE(AG6:AG32)</f>
        <v>35.516297448781991</v>
      </c>
      <c r="AH33" s="227">
        <f t="shared" si="19"/>
        <v>27.71731732432379</v>
      </c>
      <c r="AI33" s="227"/>
      <c r="AJ33" s="228">
        <f t="shared" si="19"/>
        <v>17.105351289994136</v>
      </c>
      <c r="AK33" s="235">
        <f t="shared" si="19"/>
        <v>23.0775256707458</v>
      </c>
      <c r="BD33" s="19"/>
      <c r="BE33" s="19"/>
    </row>
    <row r="34" spans="4:57" x14ac:dyDescent="0.3">
      <c r="D34" s="33"/>
      <c r="E34" s="49"/>
      <c r="F34" s="50" t="s">
        <v>128</v>
      </c>
      <c r="G34" s="51"/>
      <c r="H34" s="51"/>
      <c r="I34" s="52"/>
      <c r="J34" s="52"/>
      <c r="K34" s="53"/>
      <c r="L34" s="34"/>
      <c r="M34" s="34"/>
      <c r="N34" s="34"/>
      <c r="O34" s="34"/>
      <c r="P34" s="34"/>
      <c r="Q34" s="34"/>
      <c r="R34" s="34"/>
      <c r="S34" s="34"/>
      <c r="T34" s="34"/>
      <c r="AB34" s="35"/>
      <c r="AC34" s="260" t="s">
        <v>168</v>
      </c>
      <c r="AD34" s="261"/>
      <c r="AE34" s="229">
        <f>MEDIAN(AE6:AE32)</f>
        <v>34.285714285714285</v>
      </c>
      <c r="AF34" s="229"/>
      <c r="AG34" s="229">
        <f t="shared" ref="AG34:AK34" si="20">MEDIAN(AG6:AG32)</f>
        <v>33.572302850148624</v>
      </c>
      <c r="AH34" s="229">
        <f t="shared" si="20"/>
        <v>25.8037619430057</v>
      </c>
      <c r="AI34" s="229"/>
      <c r="AJ34" s="230">
        <f t="shared" si="20"/>
        <v>16.026814784835917</v>
      </c>
      <c r="AK34" s="236">
        <f t="shared" si="20"/>
        <v>22.418762491548332</v>
      </c>
      <c r="BD34" s="19"/>
      <c r="BE34" s="19"/>
    </row>
    <row r="35" spans="4:57" x14ac:dyDescent="0.3">
      <c r="E35" s="46"/>
      <c r="F35" s="20" t="s">
        <v>7</v>
      </c>
      <c r="G35" s="18"/>
      <c r="H35" s="18"/>
      <c r="I35" s="19"/>
      <c r="J35" s="19"/>
      <c r="K35" s="21"/>
      <c r="AC35" s="260" t="s">
        <v>169</v>
      </c>
      <c r="AD35" s="261"/>
      <c r="AE35" s="229">
        <f>_xlfn.STDEV.S(AE6:AE32)</f>
        <v>5.0648398404086965</v>
      </c>
      <c r="AF35" s="229"/>
      <c r="AG35" s="229">
        <f t="shared" ref="AG35:AK35" si="21">_xlfn.STDEV.S(AG6:AG32)</f>
        <v>4.9487203860989339</v>
      </c>
      <c r="AH35" s="229">
        <f t="shared" si="21"/>
        <v>5.5678583884153126</v>
      </c>
      <c r="AI35" s="229"/>
      <c r="AJ35" s="230">
        <f t="shared" si="21"/>
        <v>3.0241395080379583</v>
      </c>
      <c r="AK35" s="236">
        <f t="shared" si="21"/>
        <v>1.9999412010365172</v>
      </c>
      <c r="BD35" s="19"/>
      <c r="BE35" s="19"/>
    </row>
    <row r="36" spans="4:57" x14ac:dyDescent="0.3">
      <c r="E36" s="45"/>
      <c r="F36" s="20" t="s">
        <v>8</v>
      </c>
      <c r="G36" s="18"/>
      <c r="H36" s="18"/>
      <c r="I36" s="19"/>
      <c r="J36" s="19"/>
      <c r="K36" s="21"/>
      <c r="AC36" s="260" t="s">
        <v>170</v>
      </c>
      <c r="AD36" s="261"/>
      <c r="AE36" s="231">
        <f>AE35/AE33</f>
        <v>0.13973337544213338</v>
      </c>
      <c r="AF36" s="231"/>
      <c r="AG36" s="231">
        <f>AG35/AG33</f>
        <v>0.13933660717971735</v>
      </c>
      <c r="AH36" s="231">
        <f>AH35/AH33</f>
        <v>0.20088013292430529</v>
      </c>
      <c r="AI36" s="231"/>
      <c r="AJ36" s="232">
        <f>AJ35/AJ33</f>
        <v>0.17679493725492468</v>
      </c>
      <c r="AK36" s="237">
        <f t="shared" ref="AK36" si="22">AK35/AK33</f>
        <v>8.6661855762627985E-2</v>
      </c>
      <c r="BD36" s="19"/>
      <c r="BE36" s="19"/>
    </row>
    <row r="37" spans="4:57" ht="29.4" customHeight="1" thickBot="1" x14ac:dyDescent="0.35">
      <c r="E37" s="47"/>
      <c r="F37" s="22" t="s">
        <v>9</v>
      </c>
      <c r="G37" s="23"/>
      <c r="H37" s="23"/>
      <c r="I37" s="24"/>
      <c r="J37" s="24"/>
      <c r="K37" s="25"/>
      <c r="AC37" s="253" t="s">
        <v>266</v>
      </c>
      <c r="AD37" s="254"/>
      <c r="AE37" s="233">
        <f t="shared" ref="AE37:AH37" si="23">AE33-1.645*AE35</f>
        <v>27.91479586315176</v>
      </c>
      <c r="AF37" s="233"/>
      <c r="AG37" s="233">
        <f t="shared" si="23"/>
        <v>27.375652413649245</v>
      </c>
      <c r="AH37" s="233">
        <f t="shared" si="23"/>
        <v>18.558190275380603</v>
      </c>
      <c r="AI37" s="233"/>
      <c r="AJ37" s="234">
        <f>AJ33-1.645*AJ35</f>
        <v>12.130641799271695</v>
      </c>
      <c r="AK37" s="238">
        <f>AK33-1.645*AK35</f>
        <v>19.787622395040728</v>
      </c>
      <c r="BD37" s="19"/>
      <c r="BE37" s="19"/>
    </row>
    <row r="38" spans="4:57" x14ac:dyDescent="0.3">
      <c r="AB38" s="27"/>
      <c r="BD38" s="19"/>
      <c r="BE38" s="19"/>
    </row>
    <row r="39" spans="4:57" ht="43.2" x14ac:dyDescent="0.3">
      <c r="AC39" s="100" t="s">
        <v>112</v>
      </c>
      <c r="AD39" s="100"/>
      <c r="AE39" s="100" t="s">
        <v>153</v>
      </c>
      <c r="AF39" s="100"/>
      <c r="AG39" s="99" t="s">
        <v>113</v>
      </c>
      <c r="AJ39">
        <f>5/27</f>
        <v>0.18518518518518517</v>
      </c>
      <c r="BD39" s="19"/>
      <c r="BE39" s="19"/>
    </row>
    <row r="40" spans="4:57" x14ac:dyDescent="0.3">
      <c r="AC40" s="95">
        <v>23</v>
      </c>
      <c r="AD40" s="95"/>
      <c r="AE40" s="95">
        <v>28</v>
      </c>
      <c r="AF40" s="95"/>
      <c r="AG40" s="98">
        <v>0.67</v>
      </c>
      <c r="BD40" s="19"/>
      <c r="BE40" s="19"/>
    </row>
    <row r="41" spans="4:57" x14ac:dyDescent="0.3">
      <c r="AC41" s="95">
        <v>28</v>
      </c>
      <c r="AD41" s="95"/>
      <c r="AE41" s="95">
        <v>34</v>
      </c>
      <c r="AF41" s="95"/>
      <c r="AG41" s="98">
        <v>0.63</v>
      </c>
      <c r="BD41" s="19"/>
      <c r="BE41" s="19"/>
    </row>
    <row r="42" spans="4:57" x14ac:dyDescent="0.3">
      <c r="AC42" s="95">
        <v>34</v>
      </c>
      <c r="AD42" s="95"/>
      <c r="AE42" s="95">
        <v>50</v>
      </c>
      <c r="AF42" s="95"/>
      <c r="AG42" s="98">
        <v>0.6</v>
      </c>
      <c r="BD42" s="19"/>
      <c r="BE42" s="19"/>
    </row>
    <row r="43" spans="4:57" x14ac:dyDescent="0.3">
      <c r="BD43" s="19"/>
      <c r="BE43" s="19"/>
    </row>
    <row r="44" spans="4:57" x14ac:dyDescent="0.3">
      <c r="BD44" s="19">
        <v>10</v>
      </c>
      <c r="BE44" s="19" cm="1">
        <f t="array" ref="BE44">SUMPRODUCT(TRANSPOSE($AM$6:$AM$12),CHOOSE({1,2,3,4,5,6,7},BD44^6,BD44^5,BD44^4,BD44^3,BD44^2,BD44,1))</f>
        <v>0.69264207110000009</v>
      </c>
    </row>
    <row r="45" spans="4:57" ht="14.4" customHeight="1" x14ac:dyDescent="0.3">
      <c r="BD45" s="19">
        <v>15</v>
      </c>
      <c r="BE45" s="19" cm="1">
        <f t="array" ref="BE45">SUMPRODUCT(TRANSPOSE($AM$6:$AM$12),CHOOSE({1,2,3,4,5,6,7},BD45^6,BD45^5,BD45^4,BD45^3,BD45^2,BD45,1))</f>
        <v>0.67980646412343759</v>
      </c>
    </row>
    <row r="46" spans="4:57" ht="14.4" customHeight="1" x14ac:dyDescent="0.3">
      <c r="BD46" s="19">
        <v>20</v>
      </c>
      <c r="BE46" s="19" cm="1">
        <f t="array" ref="BE46">SUMPRODUCT(TRANSPOSE($AM$6:$AM$12),CHOOSE({1,2,3,4,5,6,7},BD46^6,BD46^5,BD46^4,BD46^3,BD46^2,BD46,1))</f>
        <v>0.65041897840000029</v>
      </c>
    </row>
    <row r="47" spans="4:57" ht="14.4" customHeight="1" x14ac:dyDescent="0.3">
      <c r="BD47" s="19">
        <v>25</v>
      </c>
      <c r="BE47" s="19" cm="1">
        <f t="array" ref="BE47">SUMPRODUCT(TRANSPOSE($AM$6:$AM$12),CHOOSE({1,2,3,4,5,6,7},BD47^6,BD47^5,BD47^4,BD47^3,BD47^2,BD47,1))</f>
        <v>0.62440177402343777</v>
      </c>
    </row>
    <row r="48" spans="4:57" ht="14.4" customHeight="1" x14ac:dyDescent="0.3">
      <c r="BD48" s="19">
        <v>30</v>
      </c>
      <c r="BE48" s="19" cm="1">
        <f t="array" ref="BE48">SUMPRODUCT(TRANSPOSE($AM$6:$AM$12),CHOOSE({1,2,3,4,5,6,7},BD48^6,BD48^5,BD48^4,BD48^3,BD48^2,BD48,1))</f>
        <v>0.60828787590000077</v>
      </c>
    </row>
    <row r="49" spans="56:57" ht="14.4" customHeight="1" x14ac:dyDescent="0.3">
      <c r="BD49" s="19">
        <v>35</v>
      </c>
      <c r="BE49" s="19" cm="1">
        <f t="array" ref="BE49">SUMPRODUCT(TRANSPOSE($AM$6:$AM$12),CHOOSE({1,2,3,4,5,6,7},BD49^6,BD49^5,BD49^4,BD49^3,BD49^2,BD49,1))</f>
        <v>0.601248398185938</v>
      </c>
    </row>
    <row r="50" spans="56:57" ht="33.6" customHeight="1" x14ac:dyDescent="0.3">
      <c r="BD50" s="19">
        <v>40</v>
      </c>
      <c r="BE50" s="19" cm="1">
        <f t="array" ref="BE50">SUMPRODUCT(TRANSPOSE($AM$6:$AM$12),CHOOSE({1,2,3,4,5,6,7},BD50^6,BD50^5,BD50^4,BD50^3,BD50^2,BD50,1))</f>
        <v>0.59960861360000073</v>
      </c>
    </row>
    <row r="51" spans="56:57" x14ac:dyDescent="0.3">
      <c r="BD51" s="19">
        <v>45</v>
      </c>
      <c r="BE51" s="19" cm="1">
        <f t="array" ref="BE51">SUMPRODUCT(TRANSPOSE($AM$6:$AM$12),CHOOSE({1,2,3,4,5,6,7},BD51^6,BD51^5,BD51^4,BD51^3,BD51^2,BD51,1))</f>
        <v>0.59985286761093959</v>
      </c>
    </row>
    <row r="52" spans="56:57" x14ac:dyDescent="0.3">
      <c r="BD52" s="19">
        <v>50</v>
      </c>
      <c r="BE52" s="19" cm="1">
        <f t="array" ref="BE52">SUMPRODUCT(TRANSPOSE($AM$6:$AM$12),CHOOSE({1,2,3,4,5,6,7},BD52^6,BD52^5,BD52^4,BD52^3,BD52^2,BD52,1))</f>
        <v>0.60011833750000299</v>
      </c>
    </row>
    <row r="53" spans="56:57" x14ac:dyDescent="0.3">
      <c r="BD53" s="19">
        <v>55</v>
      </c>
      <c r="BE53" s="19" cm="1">
        <f t="array" ref="BE53">SUMPRODUCT(TRANSPOSE($AM$6:$AM$12),CHOOSE({1,2,3,4,5,6,7},BD53^6,BD53^5,BD53^4,BD53^3,BD53^2,BD53,1))</f>
        <v>0.60017763629843635</v>
      </c>
    </row>
    <row r="54" spans="56:57" x14ac:dyDescent="0.3">
      <c r="BD54" s="19">
        <v>60</v>
      </c>
      <c r="BE54" s="19" cm="1">
        <f t="array" ref="BE54">SUMPRODUCT(TRANSPOSE($AM$6:$AM$12),CHOOSE({1,2,3,4,5,6,7},BD54^6,BD54^5,BD54^4,BD54^3,BD54^2,BD54,1))</f>
        <v>0.59991026160000316</v>
      </c>
    </row>
  </sheetData>
  <mergeCells count="25">
    <mergeCell ref="AC37:AD37"/>
    <mergeCell ref="BD27:BD28"/>
    <mergeCell ref="BE27:BE28"/>
    <mergeCell ref="AK4:AK5"/>
    <mergeCell ref="AI4:AI5"/>
    <mergeCell ref="AQ18:AQ19"/>
    <mergeCell ref="AR18:AR19"/>
    <mergeCell ref="AS18:AS19"/>
    <mergeCell ref="AC33:AD33"/>
    <mergeCell ref="AC34:AD34"/>
    <mergeCell ref="AC35:AD35"/>
    <mergeCell ref="AC36:AD36"/>
    <mergeCell ref="AP29:AP31"/>
    <mergeCell ref="D4:D5"/>
    <mergeCell ref="E4:T4"/>
    <mergeCell ref="U4:W4"/>
    <mergeCell ref="X4:Z4"/>
    <mergeCell ref="AJ4:AJ5"/>
    <mergeCell ref="AB4:AB5"/>
    <mergeCell ref="AC4:AC5"/>
    <mergeCell ref="AE4:AE5"/>
    <mergeCell ref="AG4:AG5"/>
    <mergeCell ref="AH4:AH5"/>
    <mergeCell ref="AD4:AD5"/>
    <mergeCell ref="AF4:AF5"/>
  </mergeCells>
  <phoneticPr fontId="15" type="noConversion"/>
  <conditionalFormatting sqref="D33:F33 L34:T34">
    <cfRule type="cellIs" dxfId="19" priority="80" operator="greaterThan">
      <formula>$W33</formula>
    </cfRule>
  </conditionalFormatting>
  <conditionalFormatting sqref="E6:T32">
    <cfRule type="cellIs" dxfId="18" priority="76" operator="lessThan">
      <formula>$V6</formula>
    </cfRule>
    <cfRule type="cellIs" dxfId="17" priority="78" operator="lessThan">
      <formula>$Y6</formula>
    </cfRule>
    <cfRule type="cellIs" dxfId="16" priority="79" operator="greaterThan">
      <formula>$Z6</formula>
    </cfRule>
  </conditionalFormatting>
  <conditionalFormatting sqref="E6:T33">
    <cfRule type="cellIs" dxfId="15" priority="77" operator="greaterThan">
      <formula>$W6</formula>
    </cfRule>
  </conditionalFormatting>
  <conditionalFormatting sqref="E28:T29">
    <cfRule type="cellIs" dxfId="14" priority="15" operator="lessThan">
      <formula>$V28</formula>
    </cfRule>
    <cfRule type="cellIs" dxfId="13" priority="16" operator="greaterThan">
      <formula>$W28</formula>
    </cfRule>
    <cfRule type="cellIs" dxfId="12" priority="17" operator="lessThan">
      <formula>$Y28</formula>
    </cfRule>
    <cfRule type="cellIs" dxfId="11" priority="18" operator="greaterThan">
      <formula>$Z28</formula>
    </cfRule>
  </conditionalFormatting>
  <conditionalFormatting sqref="E28:T33 D33 L34:T34">
    <cfRule type="cellIs" dxfId="10" priority="81" operator="lessThan">
      <formula>$V28</formula>
    </cfRule>
    <cfRule type="cellIs" dxfId="9" priority="82" operator="lessThan">
      <formula>$Y28</formula>
    </cfRule>
    <cfRule type="cellIs" dxfId="8" priority="83" operator="greaterThan">
      <formula>$Z28</formula>
    </cfRule>
  </conditionalFormatting>
  <conditionalFormatting sqref="AE6:AE32 AG6:AG3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:AE32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:AF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G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:AH32 AJ6:AK32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:AH32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:AI32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:AK32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:AI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:AJ32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:AK3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6:AK3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7E36A1E-0BA0-43B1-9C59-E0C8DB767FE3}">
          <x14:formula1>
            <xm:f>Curvas!$A$3:$A$5</xm:f>
          </x14:formula1>
          <xm:sqref>AD6:AD32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C7F5-77CA-4CDD-B410-850DF7B9FABC}">
  <dimension ref="A1:K108"/>
  <sheetViews>
    <sheetView topLeftCell="D76" zoomScale="85" zoomScaleNormal="85" workbookViewId="0">
      <selection activeCell="R18" sqref="R18"/>
    </sheetView>
  </sheetViews>
  <sheetFormatPr defaultRowHeight="14.4" x14ac:dyDescent="0.3"/>
  <cols>
    <col min="2" max="2" width="14.88671875" customWidth="1"/>
    <col min="3" max="3" width="14.33203125" customWidth="1"/>
    <col min="4" max="4" width="12.33203125" customWidth="1"/>
    <col min="5" max="5" width="14.5546875" customWidth="1"/>
    <col min="6" max="6" width="12.44140625" customWidth="1"/>
    <col min="7" max="7" width="14" customWidth="1"/>
    <col min="8" max="8" width="12.44140625" customWidth="1"/>
    <col min="9" max="9" width="12.6640625" customWidth="1"/>
    <col min="10" max="10" width="14.5546875" customWidth="1"/>
    <col min="11" max="11" width="13.109375" customWidth="1"/>
  </cols>
  <sheetData>
    <row r="1" spans="1:11" x14ac:dyDescent="0.3">
      <c r="A1" s="107"/>
      <c r="B1" s="264" t="s">
        <v>149</v>
      </c>
      <c r="C1" s="264"/>
      <c r="D1" s="264"/>
      <c r="E1" s="265"/>
      <c r="G1" t="s">
        <v>155</v>
      </c>
      <c r="H1">
        <v>-90</v>
      </c>
    </row>
    <row r="2" spans="1:11" ht="28.95" customHeight="1" x14ac:dyDescent="0.3">
      <c r="A2" s="110" t="s">
        <v>145</v>
      </c>
      <c r="B2" s="113" t="s">
        <v>150</v>
      </c>
      <c r="C2" s="113" t="s">
        <v>151</v>
      </c>
      <c r="D2" s="113" t="s">
        <v>152</v>
      </c>
      <c r="E2" s="114" t="s">
        <v>146</v>
      </c>
    </row>
    <row r="3" spans="1:11" x14ac:dyDescent="0.3">
      <c r="A3" s="101">
        <v>90</v>
      </c>
      <c r="B3" s="19">
        <v>2.308E-4</v>
      </c>
      <c r="C3" s="19">
        <v>-1.530244E-2</v>
      </c>
      <c r="D3" s="19">
        <v>1.5999095400000001</v>
      </c>
      <c r="E3" s="21">
        <v>-15.52760685</v>
      </c>
      <c r="H3" s="105" cm="1">
        <f t="array" ref="H3:K3">INDEX(B3:E5,MATCH($H$1,A3:A5,0),0)</f>
        <v>2.7478000000000002E-4</v>
      </c>
      <c r="I3" s="105">
        <v>-2.51159E-2</v>
      </c>
      <c r="J3" s="105">
        <v>2.0991653299999999</v>
      </c>
      <c r="K3" s="105">
        <v>-32.634169319999998</v>
      </c>
    </row>
    <row r="4" spans="1:11" x14ac:dyDescent="0.3">
      <c r="A4" s="101">
        <v>0</v>
      </c>
      <c r="B4" s="19">
        <v>1.2208E-4</v>
      </c>
      <c r="C4" s="19">
        <v>-6.5133300000000003E-3</v>
      </c>
      <c r="D4" s="19">
        <v>1.4013220900000001</v>
      </c>
      <c r="E4" s="21">
        <v>-18.52010151</v>
      </c>
      <c r="H4" cm="1">
        <f t="array" ref="H4:K4">CHOOSE({1,2,3,4},C10^3,C10^2,C10,1)</f>
        <v>1157.9558134797007</v>
      </c>
      <c r="I4">
        <v>110.27100303020033</v>
      </c>
      <c r="J4">
        <v>10.501000096666999</v>
      </c>
      <c r="K4">
        <v>1</v>
      </c>
    </row>
    <row r="5" spans="1:11" ht="15" thickBot="1" x14ac:dyDescent="0.35">
      <c r="A5" s="115">
        <v>-90</v>
      </c>
      <c r="B5" s="24">
        <v>2.7478000000000002E-4</v>
      </c>
      <c r="C5" s="24">
        <v>-2.51159E-2</v>
      </c>
      <c r="D5" s="24">
        <v>2.0991653299999999</v>
      </c>
      <c r="E5" s="25">
        <v>-32.634169319999998</v>
      </c>
      <c r="H5">
        <f>SUMPRODUCT(INDEX(B3:E5,MATCH($H$1,A3:A5,0),0),CHOOSE({1,2,3,4},C10^3,C10^2,C10,1))</f>
        <v>-13.042206373328241</v>
      </c>
    </row>
    <row r="7" spans="1:11" x14ac:dyDescent="0.3">
      <c r="H7">
        <f>IFERROR(VLOOKUP($H$1,A3:E5,2,FALSE),"nao encontrado")</f>
        <v>2.7478000000000002E-4</v>
      </c>
    </row>
    <row r="8" spans="1:11" ht="15" thickBot="1" x14ac:dyDescent="0.35">
      <c r="H8">
        <f>VLOOKUP(H1,A4:E6,2,FALSE)</f>
        <v>2.7478000000000002E-4</v>
      </c>
    </row>
    <row r="9" spans="1:11" x14ac:dyDescent="0.3">
      <c r="B9" s="107" t="s">
        <v>141</v>
      </c>
      <c r="C9" s="53" t="s">
        <v>140</v>
      </c>
      <c r="E9" s="19" t="s">
        <v>143</v>
      </c>
      <c r="F9" s="19" t="s">
        <v>142</v>
      </c>
    </row>
    <row r="10" spans="1:11" x14ac:dyDescent="0.3">
      <c r="B10" s="108">
        <v>22.002861923039301</v>
      </c>
      <c r="C10" s="21">
        <v>10.501000096666999</v>
      </c>
      <c r="E10" s="19">
        <f t="shared" ref="E10:E42" si="0">$B$4*B10^3+$C$4*B10^2+$D$4*B10+$E$4</f>
        <v>10.46013819499511</v>
      </c>
      <c r="F10" s="19">
        <f t="shared" ref="F10:F42" si="1">C10-E10</f>
        <v>4.0861901671888745E-2</v>
      </c>
    </row>
    <row r="11" spans="1:11" x14ac:dyDescent="0.3">
      <c r="B11" s="108">
        <v>23.004297182232399</v>
      </c>
      <c r="C11" s="21">
        <v>11.8036026414064</v>
      </c>
      <c r="E11" s="19">
        <f t="shared" si="0"/>
        <v>11.755669169447152</v>
      </c>
      <c r="F11" s="19">
        <f t="shared" si="1"/>
        <v>4.7933471959247242E-2</v>
      </c>
    </row>
    <row r="12" spans="1:11" x14ac:dyDescent="0.3">
      <c r="B12" s="108">
        <v>24.005726711194299</v>
      </c>
      <c r="C12" s="21">
        <v>13.106210919658899</v>
      </c>
      <c r="E12" s="19">
        <f t="shared" si="0"/>
        <v>13.055027207514755</v>
      </c>
      <c r="F12" s="19">
        <f t="shared" si="1"/>
        <v>5.1183712144144522E-2</v>
      </c>
    </row>
    <row r="13" spans="1:11" x14ac:dyDescent="0.3">
      <c r="B13" s="108">
        <v>25.007156240156199</v>
      </c>
      <c r="C13" s="21">
        <v>14.308608858254599</v>
      </c>
      <c r="E13" s="19">
        <f t="shared" si="0"/>
        <v>14.358955338479714</v>
      </c>
      <c r="F13" s="19">
        <f t="shared" si="1"/>
        <v>-5.0346480225114121E-2</v>
      </c>
    </row>
    <row r="14" spans="1:11" x14ac:dyDescent="0.3">
      <c r="B14" s="108">
        <v>26.0085886342337</v>
      </c>
      <c r="C14" s="21">
        <v>15.611222870020001</v>
      </c>
      <c r="E14" s="19">
        <f t="shared" si="0"/>
        <v>15.668192942182007</v>
      </c>
      <c r="F14" s="19">
        <f t="shared" si="1"/>
        <v>-5.6970072162005891E-2</v>
      </c>
    </row>
    <row r="15" spans="1:11" x14ac:dyDescent="0.3">
      <c r="B15" s="108">
        <v>27.0100181631956</v>
      </c>
      <c r="C15" s="21">
        <v>16.913831148272401</v>
      </c>
      <c r="E15" s="19">
        <f t="shared" si="0"/>
        <v>16.983468154668966</v>
      </c>
      <c r="F15" s="19">
        <f t="shared" si="1"/>
        <v>-6.9637006396565226E-2</v>
      </c>
    </row>
    <row r="16" spans="1:11" x14ac:dyDescent="0.3">
      <c r="B16" s="108">
        <v>27.9613740668727</v>
      </c>
      <c r="C16" s="21">
        <v>18.216433693011801</v>
      </c>
      <c r="E16" s="19">
        <f t="shared" si="0"/>
        <v>18.239242577174974</v>
      </c>
      <c r="F16" s="19">
        <f t="shared" si="1"/>
        <v>-2.2808884163172394E-2</v>
      </c>
    </row>
    <row r="17" spans="2:11" x14ac:dyDescent="0.3">
      <c r="B17" s="108">
        <v>29.012880086235</v>
      </c>
      <c r="C17" s="21">
        <v>19.619240843895099</v>
      </c>
      <c r="E17" s="19">
        <f t="shared" si="0"/>
        <v>19.635088937984793</v>
      </c>
      <c r="F17" s="19">
        <f t="shared" si="1"/>
        <v>-1.5848094089694342E-2</v>
      </c>
    </row>
    <row r="18" spans="2:11" x14ac:dyDescent="0.3">
      <c r="B18" s="108">
        <v>30.0143096151969</v>
      </c>
      <c r="C18" s="21">
        <v>20.9218433886345</v>
      </c>
      <c r="E18" s="19">
        <f t="shared" si="0"/>
        <v>20.972901969690621</v>
      </c>
      <c r="F18" s="19">
        <f t="shared" si="1"/>
        <v>-5.105858105612171E-2</v>
      </c>
    </row>
    <row r="19" spans="2:11" x14ac:dyDescent="0.3">
      <c r="B19" s="108">
        <v>31.0157391441588</v>
      </c>
      <c r="C19" s="21">
        <v>22.324644806004802</v>
      </c>
      <c r="E19" s="19">
        <f t="shared" si="0"/>
        <v>22.319698853284169</v>
      </c>
      <c r="F19" s="19">
        <f t="shared" si="1"/>
        <v>4.9459527206323628E-3</v>
      </c>
    </row>
    <row r="20" spans="2:11" x14ac:dyDescent="0.3">
      <c r="B20" s="108">
        <v>31.967095047835901</v>
      </c>
      <c r="C20" s="21">
        <v>23.627253084257202</v>
      </c>
      <c r="E20" s="19">
        <f t="shared" si="0"/>
        <v>23.608144282074736</v>
      </c>
      <c r="F20" s="19">
        <f t="shared" si="1"/>
        <v>1.9108802182465467E-2</v>
      </c>
    </row>
    <row r="21" spans="2:11" x14ac:dyDescent="0.3">
      <c r="B21" s="108">
        <v>33.018601067198198</v>
      </c>
      <c r="C21" s="21">
        <v>25.0300602351405</v>
      </c>
      <c r="E21" s="19">
        <f t="shared" si="0"/>
        <v>25.043190605920035</v>
      </c>
      <c r="F21" s="19">
        <f t="shared" si="1"/>
        <v>-1.3130370779535383E-2</v>
      </c>
    </row>
    <row r="22" spans="2:11" x14ac:dyDescent="0.3">
      <c r="B22" s="108">
        <v>34.020030596160098</v>
      </c>
      <c r="C22" s="21">
        <v>26.432867386023698</v>
      </c>
      <c r="E22" s="19">
        <f t="shared" si="0"/>
        <v>26.421352833027125</v>
      </c>
      <c r="F22" s="19">
        <f t="shared" si="1"/>
        <v>1.1514552996573002E-2</v>
      </c>
    </row>
    <row r="23" spans="2:11" x14ac:dyDescent="0.3">
      <c r="B23" s="108">
        <v>35.021462990237602</v>
      </c>
      <c r="C23" s="21">
        <v>27.835668803394</v>
      </c>
      <c r="E23" s="19">
        <f t="shared" si="0"/>
        <v>27.811445412155525</v>
      </c>
      <c r="F23" s="19">
        <f t="shared" si="1"/>
        <v>2.42233912384755E-2</v>
      </c>
    </row>
    <row r="24" spans="2:11" x14ac:dyDescent="0.3">
      <c r="B24" s="108">
        <v>36.022892519199502</v>
      </c>
      <c r="C24" s="21">
        <v>29.238475954277298</v>
      </c>
      <c r="E24" s="19">
        <f t="shared" si="0"/>
        <v>29.214196016697546</v>
      </c>
      <c r="F24" s="19">
        <f t="shared" si="1"/>
        <v>2.4279937579752442E-2</v>
      </c>
    </row>
    <row r="25" spans="2:11" x14ac:dyDescent="0.3">
      <c r="B25" s="108">
        <v>37.024322048161402</v>
      </c>
      <c r="C25" s="21">
        <v>30.6412831051605</v>
      </c>
      <c r="E25" s="19">
        <f t="shared" si="0"/>
        <v>30.630344232117668</v>
      </c>
      <c r="F25" s="19">
        <f t="shared" si="1"/>
        <v>1.0938873042832142E-2</v>
      </c>
    </row>
    <row r="26" spans="2:11" x14ac:dyDescent="0.3">
      <c r="B26" s="108">
        <v>38.025754442238899</v>
      </c>
      <c r="C26" s="21">
        <v>32.1442891286746</v>
      </c>
      <c r="E26" s="19">
        <f t="shared" si="0"/>
        <v>32.060629797204086</v>
      </c>
      <c r="F26" s="19">
        <f t="shared" si="1"/>
        <v>8.3659331470514076E-2</v>
      </c>
    </row>
    <row r="27" spans="2:11" x14ac:dyDescent="0.3">
      <c r="B27" s="108">
        <v>39.027186836316403</v>
      </c>
      <c r="C27" s="21">
        <v>33.547096279557799</v>
      </c>
      <c r="E27" s="19">
        <f t="shared" si="0"/>
        <v>33.505784311947465</v>
      </c>
      <c r="F27" s="19">
        <f t="shared" si="1"/>
        <v>4.1311967610333511E-2</v>
      </c>
    </row>
    <row r="28" spans="2:11" x14ac:dyDescent="0.3">
      <c r="B28" s="108">
        <v>40.028613500162699</v>
      </c>
      <c r="C28" s="21">
        <v>34.949897696928097</v>
      </c>
      <c r="E28" s="19">
        <f t="shared" si="0"/>
        <v>34.966535003896112</v>
      </c>
      <c r="F28" s="19">
        <f t="shared" si="1"/>
        <v>-1.6637306968014798E-2</v>
      </c>
    </row>
    <row r="29" spans="2:11" x14ac:dyDescent="0.3">
      <c r="B29" s="108">
        <v>41.030045894240203</v>
      </c>
      <c r="C29" s="21">
        <v>36.452903720442102</v>
      </c>
      <c r="E29" s="19">
        <f t="shared" si="0"/>
        <v>36.443634218681893</v>
      </c>
      <c r="F29" s="19">
        <f t="shared" si="1"/>
        <v>9.269501760208243E-3</v>
      </c>
    </row>
    <row r="30" spans="2:11" x14ac:dyDescent="0.3">
      <c r="B30" s="108">
        <v>41.9814017979173</v>
      </c>
      <c r="C30" s="21">
        <v>37.855713738081803</v>
      </c>
      <c r="E30" s="19">
        <f t="shared" si="0"/>
        <v>37.86267630920122</v>
      </c>
      <c r="F30" s="19">
        <f t="shared" si="1"/>
        <v>-6.9625711194163387E-3</v>
      </c>
      <c r="G30">
        <v>25</v>
      </c>
      <c r="H30">
        <v>14</v>
      </c>
      <c r="J30">
        <v>26</v>
      </c>
      <c r="K30">
        <v>10</v>
      </c>
    </row>
    <row r="31" spans="2:11" x14ac:dyDescent="0.3">
      <c r="B31" s="108">
        <v>43.032904952164003</v>
      </c>
      <c r="C31" s="21">
        <v>39.458915767470202</v>
      </c>
      <c r="E31" s="19">
        <f t="shared" si="0"/>
        <v>39.449787101702782</v>
      </c>
      <c r="F31" s="19">
        <f t="shared" si="1"/>
        <v>9.1286657674203298E-3</v>
      </c>
      <c r="G31">
        <v>30</v>
      </c>
      <c r="H31">
        <v>21</v>
      </c>
      <c r="J31">
        <v>30</v>
      </c>
      <c r="K31">
        <v>15</v>
      </c>
    </row>
    <row r="32" spans="2:11" x14ac:dyDescent="0.3">
      <c r="B32" s="108">
        <v>43.9842608558411</v>
      </c>
      <c r="C32" s="21">
        <v>40.961921790984299</v>
      </c>
      <c r="E32" s="19">
        <f t="shared" si="0"/>
        <v>40.903334617816554</v>
      </c>
      <c r="F32" s="19">
        <f t="shared" si="1"/>
        <v>5.8587173167744311E-2</v>
      </c>
      <c r="G32">
        <v>35</v>
      </c>
      <c r="H32">
        <v>28</v>
      </c>
      <c r="J32">
        <v>35</v>
      </c>
      <c r="K32">
        <v>22</v>
      </c>
    </row>
    <row r="33" spans="2:11" x14ac:dyDescent="0.3">
      <c r="B33" s="108">
        <v>45.035764010087803</v>
      </c>
      <c r="C33" s="21">
        <v>42.565132420642101</v>
      </c>
      <c r="E33" s="19">
        <f t="shared" si="0"/>
        <v>42.530127967384928</v>
      </c>
      <c r="F33" s="19">
        <f t="shared" si="1"/>
        <v>3.5004453257172941E-2</v>
      </c>
      <c r="G33">
        <v>40</v>
      </c>
      <c r="H33">
        <v>35</v>
      </c>
      <c r="J33">
        <v>40</v>
      </c>
      <c r="K33">
        <v>29</v>
      </c>
    </row>
    <row r="34" spans="2:11" x14ac:dyDescent="0.3">
      <c r="B34" s="108">
        <v>46.0371964041653</v>
      </c>
      <c r="C34" s="21">
        <v>44.068138444156197</v>
      </c>
      <c r="E34" s="19">
        <f t="shared" si="0"/>
        <v>44.099962478877998</v>
      </c>
      <c r="F34" s="19">
        <f t="shared" si="1"/>
        <v>-3.1824034721800842E-2</v>
      </c>
      <c r="G34">
        <v>45</v>
      </c>
      <c r="H34">
        <v>42</v>
      </c>
      <c r="J34">
        <v>45</v>
      </c>
      <c r="K34">
        <v>36</v>
      </c>
    </row>
    <row r="35" spans="2:11" x14ac:dyDescent="0.3">
      <c r="B35" s="108">
        <v>46.988552307842397</v>
      </c>
      <c r="C35" s="21">
        <v>45.571144467670202</v>
      </c>
      <c r="E35" s="19">
        <f t="shared" si="0"/>
        <v>45.610509512705434</v>
      </c>
      <c r="F35" s="19">
        <f t="shared" si="1"/>
        <v>-3.9365045035232527E-2</v>
      </c>
      <c r="G35">
        <v>50</v>
      </c>
      <c r="H35">
        <v>50.5</v>
      </c>
      <c r="J35">
        <v>50</v>
      </c>
      <c r="K35">
        <v>44</v>
      </c>
    </row>
    <row r="36" spans="2:11" x14ac:dyDescent="0.3">
      <c r="B36" s="108">
        <v>48.0400554620891</v>
      </c>
      <c r="C36" s="21">
        <v>47.274551103202398</v>
      </c>
      <c r="E36" s="19">
        <f t="shared" si="0"/>
        <v>47.302619828468735</v>
      </c>
      <c r="F36" s="19">
        <f t="shared" si="1"/>
        <v>-2.8068725266336969E-2</v>
      </c>
    </row>
    <row r="37" spans="2:11" x14ac:dyDescent="0.3">
      <c r="B37" s="108">
        <v>49.041487856166597</v>
      </c>
      <c r="C37" s="21">
        <v>48.877758866103697</v>
      </c>
      <c r="E37" s="19">
        <f t="shared" si="0"/>
        <v>48.936923088762072</v>
      </c>
      <c r="F37" s="19">
        <f t="shared" si="1"/>
        <v>-5.9164222658374399E-2</v>
      </c>
      <c r="I37" s="75">
        <f xml:space="preserve"> 0.0062*J30*J30 + 0.9433*J30 - 18.738</f>
        <v>9.9789999999999992</v>
      </c>
    </row>
    <row r="38" spans="2:11" x14ac:dyDescent="0.3">
      <c r="B38" s="108">
        <v>50.0429145200129</v>
      </c>
      <c r="C38" s="21">
        <v>50.480960895492103</v>
      </c>
      <c r="E38" s="19">
        <f t="shared" si="0"/>
        <v>50.594177685076247</v>
      </c>
      <c r="F38" s="19">
        <f t="shared" si="1"/>
        <v>-0.11321678958414338</v>
      </c>
      <c r="G38" s="75">
        <f xml:space="preserve"> 0.0054*G30*G30 + 1.0411*G30 - 15.214</f>
        <v>14.188499999999996</v>
      </c>
      <c r="I38" s="75">
        <f t="shared" ref="I38:I42" si="2" xml:space="preserve"> 0.0062*J31*J31 + 0.9433*J31 - 18.738</f>
        <v>15.140999999999998</v>
      </c>
    </row>
    <row r="39" spans="2:11" x14ac:dyDescent="0.3">
      <c r="B39" s="108">
        <v>51.044346914090397</v>
      </c>
      <c r="C39" s="21">
        <v>52.284572137168098</v>
      </c>
      <c r="E39" s="19">
        <f t="shared" si="0"/>
        <v>52.275138211860408</v>
      </c>
      <c r="F39" s="19">
        <f t="shared" si="1"/>
        <v>9.4339253076896057E-3</v>
      </c>
      <c r="G39" s="75">
        <f xml:space="preserve"> 0.0054*G31*G31 + 1.0411*G31 - 15.214</f>
        <v>20.878999999999998</v>
      </c>
      <c r="I39" s="75">
        <f t="shared" si="2"/>
        <v>21.872500000000002</v>
      </c>
    </row>
    <row r="40" spans="2:11" x14ac:dyDescent="0.3">
      <c r="B40" s="108">
        <v>52.045779308167901</v>
      </c>
      <c r="C40" s="21">
        <v>53.987975905943699</v>
      </c>
      <c r="E40" s="19">
        <f t="shared" si="0"/>
        <v>53.980530884695341</v>
      </c>
      <c r="F40" s="19">
        <f t="shared" si="1"/>
        <v>7.44502124835833E-3</v>
      </c>
      <c r="G40" s="75">
        <f xml:space="preserve"> 0.0054*G32*G32 + 1.0411*G32 - 15.214</f>
        <v>27.839500000000001</v>
      </c>
      <c r="I40" s="75">
        <f t="shared" si="2"/>
        <v>28.914000000000001</v>
      </c>
    </row>
    <row r="41" spans="2:11" x14ac:dyDescent="0.3">
      <c r="B41" s="108">
        <v>53.047211702245399</v>
      </c>
      <c r="C41" s="21">
        <v>55.691383974854098</v>
      </c>
      <c r="E41" s="19">
        <f t="shared" si="0"/>
        <v>55.711091335691833</v>
      </c>
      <c r="F41" s="19">
        <f t="shared" si="1"/>
        <v>-1.9707360837735166E-2</v>
      </c>
      <c r="G41" s="75">
        <f xml:space="preserve"> 0.0054*G33*G33 + 1.0411*G33 - 15.214</f>
        <v>35.07</v>
      </c>
      <c r="I41" s="75">
        <f t="shared" si="2"/>
        <v>36.265500000000003</v>
      </c>
    </row>
    <row r="42" spans="2:11" ht="15" thickBot="1" x14ac:dyDescent="0.35">
      <c r="B42" s="109">
        <v>53.998567605922503</v>
      </c>
      <c r="C42" s="25">
        <v>57.4949894830171</v>
      </c>
      <c r="E42" s="19">
        <f t="shared" si="0"/>
        <v>57.379096840904907</v>
      </c>
      <c r="F42" s="19">
        <f t="shared" si="1"/>
        <v>0.1158926421121933</v>
      </c>
      <c r="G42" s="75">
        <f xml:space="preserve"> 0.0054*G34*G34 + 1.0411*G34 - 15.214</f>
        <v>42.570500000000003</v>
      </c>
      <c r="I42" s="75">
        <f t="shared" si="2"/>
        <v>43.927</v>
      </c>
    </row>
    <row r="44" spans="2:11" ht="15" thickBot="1" x14ac:dyDescent="0.35"/>
    <row r="45" spans="2:11" ht="15" thickBot="1" x14ac:dyDescent="0.35">
      <c r="B45" s="111" t="s">
        <v>141</v>
      </c>
      <c r="C45" s="112" t="s">
        <v>147</v>
      </c>
      <c r="E45" s="19" t="s">
        <v>143</v>
      </c>
      <c r="F45" s="19" t="s">
        <v>142</v>
      </c>
    </row>
    <row r="46" spans="2:11" x14ac:dyDescent="0.3">
      <c r="B46" s="29">
        <v>27.0100138655222</v>
      </c>
      <c r="C46" s="29">
        <v>11.257205196883101</v>
      </c>
      <c r="E46" s="19">
        <f t="shared" ref="E46:E74" si="3">$B$5*B46^3+$C$5*B46^2+$D$5*B46+$E$5</f>
        <v>11.155755082700814</v>
      </c>
      <c r="F46" s="19">
        <f>C46-E46</f>
        <v>0.10145011418228655</v>
      </c>
    </row>
    <row r="47" spans="2:11" x14ac:dyDescent="0.3">
      <c r="B47" s="19">
        <v>27.971386213325701</v>
      </c>
      <c r="C47" s="19">
        <v>12.459608961889099</v>
      </c>
      <c r="E47" s="19">
        <f t="shared" si="3"/>
        <v>12.445250563931616</v>
      </c>
      <c r="F47" s="19">
        <f t="shared" ref="F47:F74" si="4">C47-E47</f>
        <v>1.4358397957483504E-2</v>
      </c>
    </row>
    <row r="48" spans="2:11" x14ac:dyDescent="0.3">
      <c r="B48" s="19">
        <v>28.992845765424601</v>
      </c>
      <c r="C48" s="19">
        <v>13.7822445031256</v>
      </c>
      <c r="E48" s="19">
        <f t="shared" si="3"/>
        <v>13.811206703337611</v>
      </c>
      <c r="F48" s="19">
        <f t="shared" si="4"/>
        <v>-2.8962200212010458E-2</v>
      </c>
    </row>
    <row r="49" spans="2:6" x14ac:dyDescent="0.3">
      <c r="B49" s="19">
        <v>30.014305317523501</v>
      </c>
      <c r="C49" s="19">
        <v>15.1048972449023</v>
      </c>
      <c r="E49" s="19">
        <f t="shared" si="3"/>
        <v>15.174625473893201</v>
      </c>
      <c r="F49" s="19">
        <f t="shared" si="4"/>
        <v>-6.9728228990900476E-2</v>
      </c>
    </row>
    <row r="50" spans="2:6" x14ac:dyDescent="0.3">
      <c r="B50" s="19">
        <v>31.035770599853699</v>
      </c>
      <c r="C50" s="19">
        <v>16.547781762909501</v>
      </c>
      <c r="E50" s="19">
        <f t="shared" si="3"/>
        <v>16.537271634697078</v>
      </c>
      <c r="F50" s="19">
        <f t="shared" si="4"/>
        <v>1.0510128212423808E-2</v>
      </c>
    </row>
    <row r="51" spans="2:6" x14ac:dyDescent="0.3">
      <c r="B51" s="19">
        <v>31.997137217425902</v>
      </c>
      <c r="C51" s="19">
        <v>17.750191261428899</v>
      </c>
      <c r="E51" s="19">
        <f t="shared" si="3"/>
        <v>17.820606379576418</v>
      </c>
      <c r="F51" s="19">
        <f t="shared" si="4"/>
        <v>-7.0415118147518996E-2</v>
      </c>
    </row>
    <row r="52" spans="2:6" x14ac:dyDescent="0.3">
      <c r="B52" s="19">
        <v>33.018596769524798</v>
      </c>
      <c r="C52" s="19">
        <v>19.193070045922699</v>
      </c>
      <c r="E52" s="19">
        <f t="shared" si="3"/>
        <v>19.186746260055578</v>
      </c>
      <c r="F52" s="19">
        <f t="shared" si="4"/>
        <v>6.3237858671207903E-3</v>
      </c>
    </row>
    <row r="53" spans="2:6" x14ac:dyDescent="0.3">
      <c r="B53" s="19">
        <v>33.979969117328203</v>
      </c>
      <c r="C53" s="19">
        <v>20.395473810928699</v>
      </c>
      <c r="E53" s="19">
        <f t="shared" si="3"/>
        <v>20.476499849513921</v>
      </c>
      <c r="F53" s="19">
        <f t="shared" si="4"/>
        <v>-8.1026038585221727E-2</v>
      </c>
    </row>
    <row r="54" spans="2:6" x14ac:dyDescent="0.3">
      <c r="B54" s="19">
        <v>34.941347195362901</v>
      </c>
      <c r="C54" s="19">
        <v>21.7181265527053</v>
      </c>
      <c r="E54" s="19">
        <f t="shared" si="3"/>
        <v>21.771612781386033</v>
      </c>
      <c r="F54" s="19">
        <f t="shared" si="4"/>
        <v>-5.3486228680732495E-2</v>
      </c>
    </row>
    <row r="55" spans="2:6" x14ac:dyDescent="0.3">
      <c r="B55" s="19">
        <v>35.962801017230603</v>
      </c>
      <c r="C55" s="19">
        <v>23.161011070712501</v>
      </c>
      <c r="E55" s="19">
        <f t="shared" si="3"/>
        <v>23.15515857455199</v>
      </c>
      <c r="F55" s="19">
        <f t="shared" si="4"/>
        <v>5.8524961605108672E-3</v>
      </c>
    </row>
    <row r="56" spans="2:6" x14ac:dyDescent="0.3">
      <c r="B56" s="19">
        <v>36.924173365034001</v>
      </c>
      <c r="C56" s="19">
        <v>24.4836580789758</v>
      </c>
      <c r="E56" s="19">
        <f t="shared" si="3"/>
        <v>24.465927951775598</v>
      </c>
      <c r="F56" s="19">
        <f t="shared" si="4"/>
        <v>1.7730127200202617E-2</v>
      </c>
    </row>
    <row r="57" spans="2:6" x14ac:dyDescent="0.3">
      <c r="B57" s="19">
        <v>37.8855514430686</v>
      </c>
      <c r="C57" s="19">
        <v>25.806293620212301</v>
      </c>
      <c r="E57" s="19">
        <f t="shared" si="3"/>
        <v>25.786543128992655</v>
      </c>
      <c r="F57" s="19">
        <f t="shared" si="4"/>
        <v>1.9750491219646449E-2</v>
      </c>
    </row>
    <row r="58" spans="2:6" x14ac:dyDescent="0.3">
      <c r="B58" s="19">
        <v>39.087266877822898</v>
      </c>
      <c r="C58" s="19">
        <v>27.4896646247341</v>
      </c>
      <c r="E58" s="19">
        <f t="shared" si="3"/>
        <v>27.453368554058613</v>
      </c>
      <c r="F58" s="19">
        <f t="shared" si="4"/>
        <v>3.6296070675486902E-2</v>
      </c>
    </row>
    <row r="59" spans="2:6" x14ac:dyDescent="0.3">
      <c r="B59" s="19">
        <v>39.928464817035298</v>
      </c>
      <c r="C59" s="19">
        <v>28.692074123253501</v>
      </c>
      <c r="E59" s="19">
        <f t="shared" si="3"/>
        <v>28.632182553313328</v>
      </c>
      <c r="F59" s="19">
        <f t="shared" si="4"/>
        <v>5.9891569940173639E-2</v>
      </c>
    </row>
    <row r="60" spans="2:6" x14ac:dyDescent="0.3">
      <c r="B60" s="19">
        <v>41.070098777725299</v>
      </c>
      <c r="C60" s="19">
        <v>30.255201884518002</v>
      </c>
      <c r="E60" s="19">
        <f t="shared" si="3"/>
        <v>30.249853637197376</v>
      </c>
      <c r="F60" s="19">
        <f t="shared" si="4"/>
        <v>5.3482473206258874E-3</v>
      </c>
    </row>
    <row r="61" spans="2:6" x14ac:dyDescent="0.3">
      <c r="B61" s="19">
        <v>42.031471125528697</v>
      </c>
      <c r="C61" s="19">
        <v>31.698086402525199</v>
      </c>
      <c r="E61" s="19">
        <f t="shared" si="3"/>
        <v>31.629667634730083</v>
      </c>
      <c r="F61" s="19">
        <f t="shared" si="4"/>
        <v>6.8418767795115798E-2</v>
      </c>
    </row>
    <row r="62" spans="2:6" x14ac:dyDescent="0.3">
      <c r="B62" s="19">
        <v>43.0529306776276</v>
      </c>
      <c r="C62" s="19">
        <v>33.140965187018899</v>
      </c>
      <c r="E62" s="19">
        <f t="shared" si="3"/>
        <v>33.115062104609024</v>
      </c>
      <c r="F62" s="19">
        <f t="shared" si="4"/>
        <v>2.5903082409875822E-2</v>
      </c>
    </row>
    <row r="63" spans="2:6" x14ac:dyDescent="0.3">
      <c r="B63" s="19">
        <v>44.014303025430998</v>
      </c>
      <c r="C63" s="19">
        <v>34.583855438539501</v>
      </c>
      <c r="E63" s="19">
        <f t="shared" si="3"/>
        <v>34.532822998985864</v>
      </c>
      <c r="F63" s="19">
        <f t="shared" si="4"/>
        <v>5.1032439553637232E-2</v>
      </c>
    </row>
    <row r="64" spans="2:6" x14ac:dyDescent="0.3">
      <c r="B64" s="19">
        <v>44.975675373234502</v>
      </c>
      <c r="C64" s="19">
        <v>36.026745690060103</v>
      </c>
      <c r="E64" s="19">
        <f t="shared" si="3"/>
        <v>35.971225521612453</v>
      </c>
      <c r="F64" s="19">
        <f t="shared" si="4"/>
        <v>5.5520168447650065E-2</v>
      </c>
    </row>
    <row r="65" spans="2:6" x14ac:dyDescent="0.3">
      <c r="B65" s="19">
        <v>46.057222129628897</v>
      </c>
      <c r="C65" s="19">
        <v>37.589867717811202</v>
      </c>
      <c r="E65" s="19">
        <f t="shared" si="3"/>
        <v>37.615929937605145</v>
      </c>
      <c r="F65" s="19">
        <f t="shared" si="4"/>
        <v>-2.6062219793942631E-2</v>
      </c>
    </row>
    <row r="66" spans="2:6" x14ac:dyDescent="0.3">
      <c r="B66" s="19">
        <v>47.018594477432302</v>
      </c>
      <c r="C66" s="19">
        <v>39.152992612318997</v>
      </c>
      <c r="E66" s="19">
        <f t="shared" si="3"/>
        <v>39.103059955635572</v>
      </c>
      <c r="F66" s="19">
        <f t="shared" si="4"/>
        <v>4.993265668342417E-2</v>
      </c>
    </row>
    <row r="67" spans="2:6" x14ac:dyDescent="0.3">
      <c r="B67" s="19">
        <v>47.979966825235799</v>
      </c>
      <c r="C67" s="19">
        <v>40.595882863839599</v>
      </c>
      <c r="E67" s="19">
        <f t="shared" si="3"/>
        <v>40.615409453242947</v>
      </c>
      <c r="F67" s="19">
        <f t="shared" si="4"/>
        <v>-1.9526589403348282E-2</v>
      </c>
    </row>
    <row r="68" spans="2:6" x14ac:dyDescent="0.3">
      <c r="B68" s="19">
        <v>49.001426377334703</v>
      </c>
      <c r="C68" s="19">
        <v>42.159004891590598</v>
      </c>
      <c r="E68" s="19">
        <f t="shared" si="3"/>
        <v>42.251554720942508</v>
      </c>
      <c r="F68" s="19">
        <f t="shared" si="4"/>
        <v>-9.2549829351909807E-2</v>
      </c>
    </row>
    <row r="69" spans="2:6" x14ac:dyDescent="0.3">
      <c r="B69" s="19">
        <v>50.022885929433599</v>
      </c>
      <c r="C69" s="19">
        <v>43.842375896112401</v>
      </c>
      <c r="E69" s="19">
        <f t="shared" si="3"/>
        <v>43.919581362277668</v>
      </c>
      <c r="F69" s="19">
        <f t="shared" si="4"/>
        <v>-7.7205466165267467E-2</v>
      </c>
    </row>
    <row r="70" spans="2:6" x14ac:dyDescent="0.3">
      <c r="B70" s="19">
        <v>50.984258277236997</v>
      </c>
      <c r="C70" s="19">
        <v>45.405500790620202</v>
      </c>
      <c r="E70" s="19">
        <f t="shared" si="3"/>
        <v>45.520183633906356</v>
      </c>
      <c r="F70" s="19">
        <f t="shared" si="4"/>
        <v>-0.11468284328615397</v>
      </c>
    </row>
    <row r="71" spans="2:6" x14ac:dyDescent="0.3">
      <c r="B71" s="19">
        <v>52.005717829336</v>
      </c>
      <c r="C71" s="19">
        <v>47.209109304885899</v>
      </c>
      <c r="E71" s="19">
        <f t="shared" si="3"/>
        <v>47.255113582174602</v>
      </c>
      <c r="F71" s="19">
        <f t="shared" si="4"/>
        <v>-4.6004277288702156E-2</v>
      </c>
    </row>
    <row r="72" spans="2:6" x14ac:dyDescent="0.3">
      <c r="B72" s="19">
        <v>52.907002972843898</v>
      </c>
      <c r="C72" s="19">
        <v>48.772231332636999</v>
      </c>
      <c r="E72" s="19">
        <f t="shared" si="3"/>
        <v>48.816639813986711</v>
      </c>
      <c r="F72" s="19">
        <f t="shared" si="4"/>
        <v>-4.4408481349712758E-2</v>
      </c>
    </row>
    <row r="73" spans="2:6" x14ac:dyDescent="0.3">
      <c r="B73" s="19">
        <v>54.048636933533899</v>
      </c>
      <c r="C73" s="19">
        <v>50.936563843161203</v>
      </c>
      <c r="E73" s="19">
        <f t="shared" si="3"/>
        <v>50.837878651838267</v>
      </c>
      <c r="F73" s="19">
        <f t="shared" si="4"/>
        <v>9.868519132293585E-2</v>
      </c>
    </row>
    <row r="74" spans="2:6" x14ac:dyDescent="0.3">
      <c r="B74" s="19">
        <v>54.5894103117311</v>
      </c>
      <c r="C74" s="19">
        <v>51.898486855165999</v>
      </c>
      <c r="E74" s="19">
        <f t="shared" si="3"/>
        <v>51.812841512121636</v>
      </c>
      <c r="F74" s="19">
        <f t="shared" si="4"/>
        <v>8.5645343044362221E-2</v>
      </c>
    </row>
    <row r="75" spans="2:6" ht="15" thickBot="1" x14ac:dyDescent="0.35"/>
    <row r="76" spans="2:6" x14ac:dyDescent="0.3">
      <c r="B76" s="141" t="s">
        <v>141</v>
      </c>
      <c r="C76" s="142" t="s">
        <v>148</v>
      </c>
      <c r="E76" s="19" t="s">
        <v>143</v>
      </c>
      <c r="F76" s="19" t="s">
        <v>142</v>
      </c>
    </row>
    <row r="77" spans="2:6" x14ac:dyDescent="0.3">
      <c r="B77" s="19">
        <v>19.979971409420699</v>
      </c>
      <c r="C77" s="19">
        <v>12.2191282088879</v>
      </c>
    </row>
    <row r="78" spans="2:6" x14ac:dyDescent="0.3">
      <c r="B78" s="19">
        <v>20.941346622339701</v>
      </c>
      <c r="C78" s="19">
        <v>13.421531973893901</v>
      </c>
    </row>
    <row r="79" spans="2:6" ht="16.2" customHeight="1" x14ac:dyDescent="0.3">
      <c r="B79" s="19">
        <v>22.022893378734199</v>
      </c>
      <c r="C79" s="19">
        <v>14.7441789821572</v>
      </c>
    </row>
    <row r="80" spans="2:6" x14ac:dyDescent="0.3">
      <c r="B80" s="19">
        <v>23.044350065717499</v>
      </c>
      <c r="C80" s="19">
        <v>16.0668202569071</v>
      </c>
    </row>
    <row r="81" spans="2:3" x14ac:dyDescent="0.3">
      <c r="B81" s="19">
        <v>24.0057224135209</v>
      </c>
      <c r="C81" s="19">
        <v>17.269229755426501</v>
      </c>
    </row>
    <row r="82" spans="2:3" x14ac:dyDescent="0.3">
      <c r="B82" s="19">
        <v>24.9670947613244</v>
      </c>
      <c r="C82" s="19">
        <v>18.351390277175199</v>
      </c>
    </row>
    <row r="83" spans="2:3" x14ac:dyDescent="0.3">
      <c r="B83" s="19">
        <v>25.9885543134233</v>
      </c>
      <c r="C83" s="19">
        <v>19.794269061668999</v>
      </c>
    </row>
    <row r="84" spans="2:3" x14ac:dyDescent="0.3">
      <c r="B84" s="19">
        <v>27.0100138655222</v>
      </c>
      <c r="C84" s="19">
        <v>20.996672826674899</v>
      </c>
    </row>
    <row r="85" spans="2:3" x14ac:dyDescent="0.3">
      <c r="B85" s="19">
        <v>28.031476282736801</v>
      </c>
      <c r="C85" s="19">
        <v>22.3193255684516</v>
      </c>
    </row>
    <row r="86" spans="2:3" x14ac:dyDescent="0.3">
      <c r="B86" s="19">
        <v>28.992845765424601</v>
      </c>
      <c r="C86" s="19">
        <v>23.521735066971001</v>
      </c>
    </row>
    <row r="87" spans="2:3" x14ac:dyDescent="0.3">
      <c r="B87" s="19">
        <v>30.014305317523501</v>
      </c>
      <c r="C87" s="19">
        <v>24.964619584978202</v>
      </c>
    </row>
    <row r="88" spans="2:3" x14ac:dyDescent="0.3">
      <c r="B88" s="19">
        <v>30.975677665326899</v>
      </c>
      <c r="C88" s="19">
        <v>26.167023349984198</v>
      </c>
    </row>
    <row r="89" spans="2:3" x14ac:dyDescent="0.3">
      <c r="B89" s="19">
        <v>31.997137217425902</v>
      </c>
      <c r="C89" s="19">
        <v>27.609902134477998</v>
      </c>
    </row>
    <row r="90" spans="2:3" x14ac:dyDescent="0.3">
      <c r="B90" s="19">
        <v>33.018596769524798</v>
      </c>
      <c r="C90" s="19">
        <v>28.932549142741301</v>
      </c>
    </row>
    <row r="91" spans="2:3" x14ac:dyDescent="0.3">
      <c r="B91" s="19">
        <v>34.040062051854903</v>
      </c>
      <c r="C91" s="19">
        <v>30.3754393942619</v>
      </c>
    </row>
    <row r="92" spans="2:3" x14ac:dyDescent="0.3">
      <c r="B92" s="19">
        <v>34.941347195362901</v>
      </c>
      <c r="C92" s="19">
        <v>31.5778431592678</v>
      </c>
    </row>
    <row r="93" spans="2:3" x14ac:dyDescent="0.3">
      <c r="B93" s="19">
        <v>35.962801017230603</v>
      </c>
      <c r="C93" s="19">
        <v>33.020733410788402</v>
      </c>
    </row>
    <row r="94" spans="2:3" x14ac:dyDescent="0.3">
      <c r="B94" s="19">
        <v>36.9842605693295</v>
      </c>
      <c r="C94" s="19">
        <v>34.4636179287956</v>
      </c>
    </row>
    <row r="95" spans="2:3" x14ac:dyDescent="0.3">
      <c r="B95" s="19">
        <v>38.005720121428503</v>
      </c>
      <c r="C95" s="19">
        <v>35.906502446802797</v>
      </c>
    </row>
    <row r="96" spans="2:3" x14ac:dyDescent="0.3">
      <c r="B96" s="19">
        <v>38.967092469231901</v>
      </c>
      <c r="C96" s="19">
        <v>37.2291494550661</v>
      </c>
    </row>
    <row r="97" spans="2:3" x14ac:dyDescent="0.3">
      <c r="B97" s="19">
        <v>39.988552021330797</v>
      </c>
      <c r="C97" s="19">
        <v>38.792277216330604</v>
      </c>
    </row>
    <row r="98" spans="2:3" x14ac:dyDescent="0.3">
      <c r="B98" s="19">
        <v>40.949930099365403</v>
      </c>
      <c r="C98" s="19">
        <v>40.235158867581099</v>
      </c>
    </row>
    <row r="99" spans="2:3" x14ac:dyDescent="0.3">
      <c r="B99" s="19">
        <v>42.031471125528697</v>
      </c>
      <c r="C99" s="19">
        <v>41.798286628845503</v>
      </c>
    </row>
    <row r="100" spans="2:3" x14ac:dyDescent="0.3">
      <c r="B100" s="19">
        <v>43.0529306776276</v>
      </c>
      <c r="C100" s="19">
        <v>43.361408656596602</v>
      </c>
    </row>
    <row r="101" spans="2:3" x14ac:dyDescent="0.3">
      <c r="B101" s="19">
        <v>43.954215821135499</v>
      </c>
      <c r="C101" s="19">
        <v>44.804298908117197</v>
      </c>
    </row>
    <row r="102" spans="2:3" x14ac:dyDescent="0.3">
      <c r="B102" s="19">
        <v>44.975675373234502</v>
      </c>
      <c r="C102" s="19">
        <v>46.367420935868303</v>
      </c>
    </row>
    <row r="103" spans="2:3" x14ac:dyDescent="0.3">
      <c r="B103" s="19">
        <v>45.997134925333398</v>
      </c>
      <c r="C103" s="19">
        <v>48.050791940390098</v>
      </c>
    </row>
    <row r="104" spans="2:3" x14ac:dyDescent="0.3">
      <c r="B104" s="19">
        <v>46.958507273136803</v>
      </c>
      <c r="C104" s="19">
        <v>49.734160078155199</v>
      </c>
    </row>
    <row r="105" spans="2:3" x14ac:dyDescent="0.3">
      <c r="B105" s="19">
        <v>48.040054029531298</v>
      </c>
      <c r="C105" s="19">
        <v>51.537765725664201</v>
      </c>
    </row>
    <row r="106" spans="2:3" x14ac:dyDescent="0.3">
      <c r="B106" s="19">
        <v>49.061513581630201</v>
      </c>
      <c r="C106" s="19">
        <v>53.341374239929799</v>
      </c>
    </row>
    <row r="107" spans="2:3" x14ac:dyDescent="0.3">
      <c r="B107" s="19">
        <v>50.022885929433599</v>
      </c>
      <c r="C107" s="19">
        <v>55.144979887438801</v>
      </c>
    </row>
    <row r="108" spans="2:3" x14ac:dyDescent="0.3">
      <c r="B108" s="19">
        <v>50.623746511926399</v>
      </c>
      <c r="C108" s="19">
        <v>56.3473865192015</v>
      </c>
    </row>
  </sheetData>
  <mergeCells count="1">
    <mergeCell ref="B1:E1"/>
  </mergeCells>
  <conditionalFormatting sqref="F10:F4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:F7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disablePrompts="1" count="1">
    <dataValidation type="list" allowBlank="1" showInputMessage="1" showErrorMessage="1" sqref="H1" xr:uid="{5047D285-838E-43BC-B401-AC3218CC762F}">
      <formula1>$A$3:$A$5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39C5-702B-4F90-B6E1-054A89D26C8E}">
  <sheetPr>
    <pageSetUpPr fitToPage="1"/>
  </sheetPr>
  <dimension ref="D1:BD54"/>
  <sheetViews>
    <sheetView topLeftCell="AC1" zoomScale="85" zoomScaleNormal="85" workbookViewId="0">
      <selection activeCell="AK50" sqref="AK50"/>
    </sheetView>
  </sheetViews>
  <sheetFormatPr defaultRowHeight="14.4" x14ac:dyDescent="0.3"/>
  <cols>
    <col min="1" max="1" width="12.109375" customWidth="1"/>
    <col min="2" max="2" width="26.6640625" customWidth="1"/>
    <col min="3" max="3" width="11.5546875" customWidth="1"/>
    <col min="4" max="4" width="28.5546875" customWidth="1"/>
    <col min="5" max="20" width="4.88671875" customWidth="1"/>
    <col min="21" max="21" width="7.6640625" customWidth="1"/>
    <col min="22" max="23" width="11.5546875" customWidth="1"/>
    <col min="24" max="24" width="7.109375" customWidth="1"/>
    <col min="25" max="25" width="11.6640625" customWidth="1"/>
    <col min="26" max="26" width="11.5546875" customWidth="1"/>
    <col min="28" max="28" width="17.33203125" customWidth="1"/>
    <col min="29" max="29" width="27.44140625" customWidth="1"/>
    <col min="30" max="30" width="9.5546875" customWidth="1"/>
    <col min="31" max="31" width="10.88671875" customWidth="1"/>
    <col min="32" max="32" width="10.6640625" customWidth="1"/>
    <col min="33" max="33" width="13.6640625" customWidth="1"/>
    <col min="34" max="34" width="9.6640625" customWidth="1"/>
    <col min="35" max="35" width="10.5546875" customWidth="1"/>
    <col min="36" max="36" width="11" customWidth="1"/>
    <col min="37" max="37" width="15.44140625" customWidth="1"/>
    <col min="38" max="38" width="23.5546875" customWidth="1"/>
    <col min="39" max="39" width="10.109375" customWidth="1"/>
    <col min="40" max="40" width="29.88671875" customWidth="1"/>
    <col min="41" max="41" width="17.6640625" customWidth="1"/>
    <col min="42" max="42" width="25" customWidth="1"/>
    <col min="43" max="43" width="16.6640625" customWidth="1"/>
    <col min="44" max="44" width="14.6640625" bestFit="1" customWidth="1"/>
    <col min="55" max="55" width="22.44140625" bestFit="1" customWidth="1"/>
    <col min="56" max="56" width="12.33203125" bestFit="1" customWidth="1"/>
  </cols>
  <sheetData>
    <row r="1" spans="4:44" ht="15" thickBot="1" x14ac:dyDescent="0.35"/>
    <row r="2" spans="4:44" ht="15" thickBot="1" x14ac:dyDescent="0.35">
      <c r="AI2" s="149" t="s">
        <v>172</v>
      </c>
      <c r="AJ2" s="150">
        <v>1</v>
      </c>
    </row>
    <row r="3" spans="4:44" ht="15" thickBot="1" x14ac:dyDescent="0.35">
      <c r="AH3" t="s">
        <v>158</v>
      </c>
      <c r="AO3" cm="1">
        <f t="array" ref="AO3:AR3">CHOOSE({1,2,3,4},AG6^3,AG6^2,AG6,1)</f>
        <v>19574.972701652139</v>
      </c>
      <c r="AP3">
        <v>726.33021344379131</v>
      </c>
      <c r="AQ3">
        <v>26.950514159173128</v>
      </c>
      <c r="AR3">
        <v>1</v>
      </c>
    </row>
    <row r="4" spans="4:44" ht="16.95" customHeight="1" thickBot="1" x14ac:dyDescent="0.35">
      <c r="D4" s="239" t="s">
        <v>0</v>
      </c>
      <c r="E4" s="241" t="s">
        <v>110</v>
      </c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3"/>
      <c r="U4" s="241" t="s">
        <v>1</v>
      </c>
      <c r="V4" s="242"/>
      <c r="W4" s="243"/>
      <c r="X4" s="241" t="s">
        <v>2</v>
      </c>
      <c r="Y4" s="242"/>
      <c r="Z4" s="243"/>
      <c r="AB4" s="273" t="s">
        <v>111</v>
      </c>
      <c r="AC4" s="247" t="str">
        <f>D4</f>
        <v>Área de Ensaio</v>
      </c>
      <c r="AD4" s="249" t="s">
        <v>154</v>
      </c>
      <c r="AE4" s="249" t="s">
        <v>144</v>
      </c>
      <c r="AF4" s="249" t="s">
        <v>139</v>
      </c>
      <c r="AG4" s="249" t="s">
        <v>171</v>
      </c>
      <c r="AH4" s="249" t="s">
        <v>157</v>
      </c>
      <c r="AI4" s="244" t="s">
        <v>156</v>
      </c>
      <c r="AJ4" s="268" t="s">
        <v>173</v>
      </c>
      <c r="AO4" s="118">
        <f>$AG$6^3</f>
        <v>19574.972701652139</v>
      </c>
      <c r="AP4" s="118">
        <f>$AG$6^2</f>
        <v>726.33021344379131</v>
      </c>
      <c r="AQ4" s="118">
        <f>$AG$6^1</f>
        <v>26.950514159173128</v>
      </c>
      <c r="AR4" s="118">
        <v>1</v>
      </c>
    </row>
    <row r="5" spans="4:44" ht="53.4" customHeight="1" thickBot="1" x14ac:dyDescent="0.35">
      <c r="D5" s="240"/>
      <c r="E5" s="57">
        <v>1</v>
      </c>
      <c r="F5" s="58">
        <v>2</v>
      </c>
      <c r="G5" s="58">
        <v>3</v>
      </c>
      <c r="H5" s="58">
        <v>4</v>
      </c>
      <c r="I5" s="58">
        <v>5</v>
      </c>
      <c r="J5" s="58">
        <v>6</v>
      </c>
      <c r="K5" s="58">
        <v>7</v>
      </c>
      <c r="L5" s="58">
        <v>8</v>
      </c>
      <c r="M5" s="58">
        <v>9</v>
      </c>
      <c r="N5" s="58">
        <v>10</v>
      </c>
      <c r="O5" s="58">
        <v>11</v>
      </c>
      <c r="P5" s="58">
        <v>12</v>
      </c>
      <c r="Q5" s="58">
        <v>13</v>
      </c>
      <c r="R5" s="58">
        <v>14</v>
      </c>
      <c r="S5" s="58">
        <v>15</v>
      </c>
      <c r="T5" s="59">
        <v>16</v>
      </c>
      <c r="U5" s="15" t="s">
        <v>3</v>
      </c>
      <c r="V5" s="16" t="s">
        <v>4</v>
      </c>
      <c r="W5" s="17" t="s">
        <v>5</v>
      </c>
      <c r="X5" s="15" t="s">
        <v>6</v>
      </c>
      <c r="Y5" s="16" t="s">
        <v>4</v>
      </c>
      <c r="Z5" s="17" t="s">
        <v>5</v>
      </c>
      <c r="AB5" s="274"/>
      <c r="AC5" s="272"/>
      <c r="AD5" s="270"/>
      <c r="AE5" s="270"/>
      <c r="AF5" s="270"/>
      <c r="AG5" s="270"/>
      <c r="AH5" s="270"/>
      <c r="AI5" s="271"/>
      <c r="AJ5" s="269"/>
      <c r="AL5" t="s">
        <v>166</v>
      </c>
      <c r="AP5" s="89" t="s">
        <v>134</v>
      </c>
      <c r="AQ5" s="86" t="s">
        <v>136</v>
      </c>
    </row>
    <row r="6" spans="4:44" ht="15" customHeight="1" x14ac:dyDescent="0.3">
      <c r="D6" s="48" t="s">
        <v>10</v>
      </c>
      <c r="E6" s="61">
        <v>30</v>
      </c>
      <c r="F6" s="62">
        <v>32</v>
      </c>
      <c r="G6" s="62">
        <v>32</v>
      </c>
      <c r="H6" s="62">
        <v>33</v>
      </c>
      <c r="I6" s="62">
        <v>34</v>
      </c>
      <c r="J6" s="62">
        <v>34</v>
      </c>
      <c r="K6" s="62">
        <v>35</v>
      </c>
      <c r="L6" s="62">
        <v>36</v>
      </c>
      <c r="M6" s="62">
        <v>36</v>
      </c>
      <c r="N6" s="62">
        <v>36</v>
      </c>
      <c r="O6" s="62">
        <v>36</v>
      </c>
      <c r="P6" s="62">
        <v>36</v>
      </c>
      <c r="Q6" s="62">
        <v>36</v>
      </c>
      <c r="R6" s="62">
        <v>37</v>
      </c>
      <c r="S6" s="62">
        <v>37</v>
      </c>
      <c r="T6" s="63">
        <v>37</v>
      </c>
      <c r="U6" s="54">
        <f>AVERAGE(E6:T6)</f>
        <v>34.8125</v>
      </c>
      <c r="V6" s="13">
        <f>U6*0.9</f>
        <v>31.331250000000001</v>
      </c>
      <c r="W6" s="36">
        <f>U6*1.1</f>
        <v>38.293750000000003</v>
      </c>
      <c r="X6" s="14">
        <f>AVERAGEIFS(E6:T6,E6:T6,"&gt;"&amp;V6, E6:T6, "&lt;"&amp;W6)</f>
        <v>35.133333333333333</v>
      </c>
      <c r="Y6" s="39">
        <f>X6*0.9</f>
        <v>31.62</v>
      </c>
      <c r="Z6" s="42">
        <f>X6*1.1</f>
        <v>38.646666666666668</v>
      </c>
      <c r="AB6" s="80">
        <v>49</v>
      </c>
      <c r="AC6" s="127" t="str">
        <f t="shared" ref="AC6:AC27" si="0">D6</f>
        <v>ES-01 (túnel de descarga-PT05)</v>
      </c>
      <c r="AD6" s="88">
        <v>0</v>
      </c>
      <c r="AE6" s="30">
        <f>X6</f>
        <v>35.133333333333333</v>
      </c>
      <c r="AF6" s="30">
        <f t="shared" ref="AF6:AF27" si="1">AE6*$AQ$20</f>
        <v>34.402284781721747</v>
      </c>
      <c r="AG6" s="106">
        <f>SUMPRODUCT(INDEX(Curvas!$B$3:$E$5,MATCH(AD6,Curvas!$A$3:$A$5,0),0),CHOOSE({1,2,3,4},AF6^3,AF6^2,AF6,1))</f>
        <v>26.950514159173128</v>
      </c>
      <c r="AH6" s="122">
        <v>0.68100000000000005</v>
      </c>
      <c r="AI6" s="128">
        <f>AG6*AH6</f>
        <v>18.3533001423969</v>
      </c>
      <c r="AJ6" s="151">
        <f t="shared" ref="AJ6:AJ27" si="2">$AJ$2*5600*SQRT($AI6)/1000</f>
        <v>23.99082100440847</v>
      </c>
      <c r="AL6" s="120">
        <v>-1.3432489999999999E-10</v>
      </c>
      <c r="AM6" s="121" t="s">
        <v>159</v>
      </c>
      <c r="AO6">
        <f>SUMPRODUCT(INDEX(Curvas!$B$3:$E$5,MATCH(AD6,Curvas!$A$3:$A$5,0),0),CHOOSE({1,2,3,4},AF6^3,AF6^2,AF6,1))</f>
        <v>26.950514159173128</v>
      </c>
      <c r="AP6" s="88">
        <v>1</v>
      </c>
      <c r="AQ6" s="91">
        <v>81</v>
      </c>
    </row>
    <row r="7" spans="4:44" ht="15" customHeight="1" x14ac:dyDescent="0.3">
      <c r="D7" s="11" t="s">
        <v>11</v>
      </c>
      <c r="E7" s="64">
        <v>30</v>
      </c>
      <c r="F7" s="60">
        <v>30</v>
      </c>
      <c r="G7" s="60">
        <v>30</v>
      </c>
      <c r="H7" s="60">
        <v>30</v>
      </c>
      <c r="I7" s="60">
        <v>30</v>
      </c>
      <c r="J7" s="60">
        <v>30</v>
      </c>
      <c r="K7" s="60">
        <v>31</v>
      </c>
      <c r="L7" s="60">
        <v>31</v>
      </c>
      <c r="M7" s="60">
        <v>31</v>
      </c>
      <c r="N7" s="60">
        <v>31</v>
      </c>
      <c r="O7" s="60">
        <v>32</v>
      </c>
      <c r="P7" s="60">
        <v>32</v>
      </c>
      <c r="Q7" s="60">
        <v>32</v>
      </c>
      <c r="R7" s="60">
        <v>32</v>
      </c>
      <c r="S7" s="60">
        <v>32</v>
      </c>
      <c r="T7" s="65">
        <v>32</v>
      </c>
      <c r="U7" s="55">
        <f t="shared" ref="U7:U43" si="3">AVERAGE(E7:T7)</f>
        <v>31</v>
      </c>
      <c r="V7" s="7">
        <f t="shared" ref="V7:V43" si="4">U7*0.9</f>
        <v>27.900000000000002</v>
      </c>
      <c r="W7" s="37">
        <f t="shared" ref="W7:W43" si="5">U7*1.1</f>
        <v>34.1</v>
      </c>
      <c r="X7" s="9">
        <f t="shared" ref="X7:X11" si="6">AVERAGEIFS(E7:T7,E7:T7,"&gt;"&amp;V7, E7:T7, "&lt;"&amp;W7)</f>
        <v>31</v>
      </c>
      <c r="Y7" s="40">
        <f t="shared" ref="Y7:Y43" si="7">X7*0.9</f>
        <v>27.900000000000002</v>
      </c>
      <c r="Z7" s="43">
        <f t="shared" ref="Z7:Z43" si="8">X7*1.1</f>
        <v>34.1</v>
      </c>
      <c r="AB7" s="81">
        <v>59.3</v>
      </c>
      <c r="AC7" s="108" t="str">
        <f t="shared" si="0"/>
        <v>ES-02 (túnel de descarga-PT03)</v>
      </c>
      <c r="AD7" s="88">
        <v>0</v>
      </c>
      <c r="AE7" s="28">
        <f t="shared" ref="AE7:AE43" si="9">X7</f>
        <v>31</v>
      </c>
      <c r="AF7" s="30">
        <f t="shared" si="1"/>
        <v>30.354957160342718</v>
      </c>
      <c r="AG7" s="106">
        <f>SUMPRODUCT(INDEX(Curvas!$B$3:$E$5,MATCH(AD7,Curvas!$A$3:$A$5,0),0),CHOOSE({1,2,3,4},AF7^3,AF7^2,AF7,1))</f>
        <v>21.429985015026798</v>
      </c>
      <c r="AH7" s="122">
        <v>0.68100000000000005</v>
      </c>
      <c r="AI7" s="128">
        <f t="shared" ref="AI7:AI27" si="10">AG7*AH7</f>
        <v>14.59381979523325</v>
      </c>
      <c r="AJ7" s="152">
        <f t="shared" si="2"/>
        <v>21.39304066229284</v>
      </c>
      <c r="AL7" s="120">
        <v>3.4206460000000003E-8</v>
      </c>
      <c r="AM7" s="121" t="s">
        <v>160</v>
      </c>
      <c r="AO7">
        <f>SUMPRODUCT(INDEX(Curvas!$B$3:$E$5,MATCH(AD7,Curvas!$A$3:$A$5,0),0),CHOOSE({1,2,3,4},AF7^3,AF7^2,AF7,1))</f>
        <v>21.429985015026798</v>
      </c>
      <c r="AP7" s="26">
        <v>2</v>
      </c>
      <c r="AQ7" s="92">
        <v>81</v>
      </c>
    </row>
    <row r="8" spans="4:44" ht="15" customHeight="1" x14ac:dyDescent="0.3">
      <c r="D8" s="11" t="s">
        <v>12</v>
      </c>
      <c r="E8" s="64">
        <v>27</v>
      </c>
      <c r="F8" s="60">
        <v>30</v>
      </c>
      <c r="G8" s="60">
        <v>31</v>
      </c>
      <c r="H8" s="60">
        <v>31</v>
      </c>
      <c r="I8" s="60">
        <v>31</v>
      </c>
      <c r="J8" s="60">
        <v>31</v>
      </c>
      <c r="K8" s="60">
        <v>32</v>
      </c>
      <c r="L8" s="60">
        <v>32</v>
      </c>
      <c r="M8" s="60">
        <v>32</v>
      </c>
      <c r="N8" s="60">
        <v>33</v>
      </c>
      <c r="O8" s="60">
        <v>33</v>
      </c>
      <c r="P8" s="60">
        <v>34</v>
      </c>
      <c r="Q8" s="60">
        <v>34</v>
      </c>
      <c r="R8" s="60">
        <v>37</v>
      </c>
      <c r="S8" s="60">
        <v>39</v>
      </c>
      <c r="T8" s="65">
        <v>39</v>
      </c>
      <c r="U8" s="55">
        <f t="shared" si="3"/>
        <v>32.875</v>
      </c>
      <c r="V8" s="7">
        <f t="shared" si="4"/>
        <v>29.587500000000002</v>
      </c>
      <c r="W8" s="37">
        <f t="shared" si="5"/>
        <v>36.162500000000001</v>
      </c>
      <c r="X8" s="9">
        <f t="shared" si="6"/>
        <v>32</v>
      </c>
      <c r="Y8" s="40">
        <f t="shared" si="7"/>
        <v>28.8</v>
      </c>
      <c r="Z8" s="43">
        <f t="shared" si="8"/>
        <v>35.200000000000003</v>
      </c>
      <c r="AB8" s="81">
        <v>64.3</v>
      </c>
      <c r="AC8" s="108" t="str">
        <f t="shared" si="0"/>
        <v>ES-03 (túnel de descarga-PT06)</v>
      </c>
      <c r="AD8" s="88">
        <v>0</v>
      </c>
      <c r="AE8" s="28">
        <f t="shared" si="9"/>
        <v>32</v>
      </c>
      <c r="AF8" s="30">
        <f t="shared" si="1"/>
        <v>31.334149326805385</v>
      </c>
      <c r="AG8" s="106">
        <f>SUMPRODUCT(INDEX(Curvas!$B$3:$E$5,MATCH(AD8,Curvas!$A$3:$A$5,0),0),CHOOSE({1,2,3,4},AF8^3,AF8^2,AF8,1))</f>
        <v>22.749921978566366</v>
      </c>
      <c r="AH8" s="122">
        <v>0.68100000000000005</v>
      </c>
      <c r="AI8" s="128">
        <f t="shared" si="10"/>
        <v>15.492696867403696</v>
      </c>
      <c r="AJ8" s="152">
        <f t="shared" si="2"/>
        <v>22.042027442179176</v>
      </c>
      <c r="AL8" s="120">
        <v>-3.4905150000000001E-6</v>
      </c>
      <c r="AM8" s="121" t="s">
        <v>161</v>
      </c>
      <c r="AO8">
        <f>SUMPRODUCT(INDEX(Curvas!$B$3:$E$5,MATCH(AD8,Curvas!$A$3:$A$5,0),0),CHOOSE({1,2,3,4},AF8^3,AF8^2,AF8,1))</f>
        <v>22.749921978566366</v>
      </c>
      <c r="AP8" s="26">
        <v>3</v>
      </c>
      <c r="AQ8" s="92">
        <v>81</v>
      </c>
    </row>
    <row r="9" spans="4:44" ht="15" customHeight="1" x14ac:dyDescent="0.3">
      <c r="D9" s="11" t="s">
        <v>13</v>
      </c>
      <c r="E9" s="64">
        <v>33</v>
      </c>
      <c r="F9" s="60">
        <v>33</v>
      </c>
      <c r="G9" s="60">
        <v>34</v>
      </c>
      <c r="H9" s="60">
        <v>34</v>
      </c>
      <c r="I9" s="60">
        <v>36</v>
      </c>
      <c r="J9" s="60">
        <v>36</v>
      </c>
      <c r="K9" s="60">
        <v>37</v>
      </c>
      <c r="L9" s="60">
        <v>37</v>
      </c>
      <c r="M9" s="60">
        <v>37</v>
      </c>
      <c r="N9" s="60">
        <v>37</v>
      </c>
      <c r="O9" s="60">
        <v>38</v>
      </c>
      <c r="P9" s="60">
        <v>38</v>
      </c>
      <c r="Q9" s="60">
        <v>39</v>
      </c>
      <c r="R9" s="60">
        <v>39</v>
      </c>
      <c r="S9" s="60">
        <v>40</v>
      </c>
      <c r="T9" s="65">
        <v>48</v>
      </c>
      <c r="U9" s="55">
        <f t="shared" si="3"/>
        <v>37.25</v>
      </c>
      <c r="V9" s="7">
        <f t="shared" si="4"/>
        <v>33.524999999999999</v>
      </c>
      <c r="W9" s="37">
        <f t="shared" si="5"/>
        <v>40.975000000000001</v>
      </c>
      <c r="X9" s="9">
        <f t="shared" si="6"/>
        <v>37.07692307692308</v>
      </c>
      <c r="Y9" s="40">
        <f t="shared" si="7"/>
        <v>33.369230769230775</v>
      </c>
      <c r="Z9" s="43">
        <f t="shared" si="8"/>
        <v>40.784615384615392</v>
      </c>
      <c r="AB9" s="81">
        <v>49.5</v>
      </c>
      <c r="AC9" s="108" t="str">
        <f t="shared" si="0"/>
        <v>ES-04 (estaca 71-N)</v>
      </c>
      <c r="AD9" s="88">
        <v>0</v>
      </c>
      <c r="AE9" s="28">
        <f t="shared" si="9"/>
        <v>37.07692307692308</v>
      </c>
      <c r="AF9" s="30">
        <f t="shared" si="1"/>
        <v>36.305432633462011</v>
      </c>
      <c r="AG9" s="106">
        <f>SUMPRODUCT(INDEX(Curvas!$B$3:$E$5,MATCH(AD9,Curvas!$A$3:$A$5,0),0),CHOOSE({1,2,3,4},AF9^3,AF9^2,AF9,1))</f>
        <v>29.612354946138314</v>
      </c>
      <c r="AH9" s="122">
        <v>0.68100000000000005</v>
      </c>
      <c r="AI9" s="128">
        <f t="shared" si="10"/>
        <v>20.166013718320194</v>
      </c>
      <c r="AJ9" s="152">
        <f t="shared" si="2"/>
        <v>25.147687571753416</v>
      </c>
      <c r="AL9" s="120">
        <v>1.7928320000000001E-4</v>
      </c>
      <c r="AM9" s="121" t="s">
        <v>162</v>
      </c>
      <c r="AO9">
        <f>SUMPRODUCT(INDEX(Curvas!$B$3:$E$5,MATCH(AD9,Curvas!$A$3:$A$5,0),0),CHOOSE({1,2,3,4},AF9^3,AF9^2,AF9,1))</f>
        <v>29.612354946138314</v>
      </c>
      <c r="AP9" s="26">
        <v>4</v>
      </c>
      <c r="AQ9" s="92">
        <v>82</v>
      </c>
    </row>
    <row r="10" spans="4:44" ht="15" customHeight="1" x14ac:dyDescent="0.3">
      <c r="D10" s="11" t="s">
        <v>14</v>
      </c>
      <c r="E10" s="64">
        <v>31</v>
      </c>
      <c r="F10" s="60">
        <v>34</v>
      </c>
      <c r="G10" s="60">
        <v>34</v>
      </c>
      <c r="H10" s="60">
        <v>35</v>
      </c>
      <c r="I10" s="60">
        <v>35</v>
      </c>
      <c r="J10" s="60">
        <v>36</v>
      </c>
      <c r="K10" s="60">
        <v>36</v>
      </c>
      <c r="L10" s="60">
        <v>36</v>
      </c>
      <c r="M10" s="60">
        <v>36</v>
      </c>
      <c r="N10" s="60">
        <v>38</v>
      </c>
      <c r="O10" s="60">
        <v>38</v>
      </c>
      <c r="P10" s="60">
        <v>38</v>
      </c>
      <c r="Q10" s="60">
        <v>38</v>
      </c>
      <c r="R10" s="60">
        <v>39</v>
      </c>
      <c r="S10" s="60">
        <v>44</v>
      </c>
      <c r="T10" s="65">
        <v>48</v>
      </c>
      <c r="U10" s="55">
        <f t="shared" si="3"/>
        <v>37.25</v>
      </c>
      <c r="V10" s="7">
        <f t="shared" si="4"/>
        <v>33.524999999999999</v>
      </c>
      <c r="W10" s="37">
        <f t="shared" si="5"/>
        <v>40.975000000000001</v>
      </c>
      <c r="X10" s="9">
        <f t="shared" si="6"/>
        <v>36.384615384615387</v>
      </c>
      <c r="Y10" s="40">
        <f t="shared" si="7"/>
        <v>32.746153846153852</v>
      </c>
      <c r="Z10" s="43">
        <f t="shared" si="8"/>
        <v>40.023076923076928</v>
      </c>
      <c r="AB10" s="81">
        <v>50.5</v>
      </c>
      <c r="AC10" s="108" t="str">
        <f t="shared" si="0"/>
        <v>ES-05 (estaca 71-O)</v>
      </c>
      <c r="AD10" s="88">
        <v>0</v>
      </c>
      <c r="AE10" s="28">
        <f t="shared" si="9"/>
        <v>36.384615384615387</v>
      </c>
      <c r="AF10" s="30">
        <f t="shared" si="1"/>
        <v>35.627530364372468</v>
      </c>
      <c r="AG10" s="106">
        <f>SUMPRODUCT(INDEX(Curvas!$B$3:$E$5,MATCH(AD10,Curvas!$A$3:$A$5,0),0),CHOOSE({1,2,3,4},AF10^3,AF10^2,AF10,1))</f>
        <v>28.65883348931138</v>
      </c>
      <c r="AH10" s="122">
        <v>0.68100000000000005</v>
      </c>
      <c r="AI10" s="128">
        <f t="shared" si="10"/>
        <v>19.51666560622105</v>
      </c>
      <c r="AJ10" s="152">
        <f t="shared" si="2"/>
        <v>24.739495415450413</v>
      </c>
      <c r="AL10" s="120">
        <v>-4.7045079999999996E-3</v>
      </c>
      <c r="AM10" s="121" t="s">
        <v>163</v>
      </c>
      <c r="AO10">
        <f>SUMPRODUCT(INDEX(Curvas!$B$3:$E$5,MATCH(AD10,Curvas!$A$3:$A$5,0),0),CHOOSE({1,2,3,4},AF10^3,AF10^2,AF10,1))</f>
        <v>28.65883348931138</v>
      </c>
      <c r="AP10" s="26">
        <v>5</v>
      </c>
      <c r="AQ10" s="92">
        <v>82</v>
      </c>
    </row>
    <row r="11" spans="4:44" ht="15" customHeight="1" x14ac:dyDescent="0.3">
      <c r="D11" s="11" t="s">
        <v>15</v>
      </c>
      <c r="E11" s="64">
        <v>35</v>
      </c>
      <c r="F11" s="60">
        <v>35</v>
      </c>
      <c r="G11" s="60">
        <v>36</v>
      </c>
      <c r="H11" s="60">
        <v>36</v>
      </c>
      <c r="I11" s="60">
        <v>37</v>
      </c>
      <c r="J11" s="60">
        <v>38</v>
      </c>
      <c r="K11" s="60">
        <v>38</v>
      </c>
      <c r="L11" s="60">
        <v>38</v>
      </c>
      <c r="M11" s="60">
        <v>41</v>
      </c>
      <c r="N11" s="60">
        <v>41</v>
      </c>
      <c r="O11" s="60">
        <v>42</v>
      </c>
      <c r="P11" s="60">
        <v>42</v>
      </c>
      <c r="Q11" s="60">
        <v>44</v>
      </c>
      <c r="R11" s="60">
        <v>45</v>
      </c>
      <c r="S11" s="60">
        <v>53</v>
      </c>
      <c r="T11" s="65">
        <v>58</v>
      </c>
      <c r="U11" s="55">
        <f t="shared" si="3"/>
        <v>41.1875</v>
      </c>
      <c r="V11" s="7">
        <f t="shared" si="4"/>
        <v>37.068750000000001</v>
      </c>
      <c r="W11" s="37">
        <f t="shared" si="5"/>
        <v>45.306250000000006</v>
      </c>
      <c r="X11" s="9">
        <f t="shared" si="6"/>
        <v>41</v>
      </c>
      <c r="Y11" s="40">
        <f t="shared" si="7"/>
        <v>36.9</v>
      </c>
      <c r="Z11" s="43">
        <f t="shared" si="8"/>
        <v>45.1</v>
      </c>
      <c r="AB11" s="81">
        <v>55</v>
      </c>
      <c r="AC11" s="108" t="str">
        <f t="shared" si="0"/>
        <v>ES-06 (estaca 71-S)</v>
      </c>
      <c r="AD11" s="88">
        <v>0</v>
      </c>
      <c r="AE11" s="28">
        <f t="shared" si="9"/>
        <v>41</v>
      </c>
      <c r="AF11" s="30">
        <f t="shared" si="1"/>
        <v>40.146878824969399</v>
      </c>
      <c r="AG11" s="106">
        <f>SUMPRODUCT(INDEX(Curvas!$B$3:$E$5,MATCH(AD11,Curvas!$A$3:$A$5,0),0),CHOOSE({1,2,3,4},AF11^3,AF11^2,AF11,1))</f>
        <v>35.140109566541966</v>
      </c>
      <c r="AH11" s="122">
        <v>0.68100000000000005</v>
      </c>
      <c r="AI11" s="128">
        <f t="shared" si="10"/>
        <v>23.930414614815081</v>
      </c>
      <c r="AJ11" s="152">
        <f t="shared" si="2"/>
        <v>27.394484888761838</v>
      </c>
      <c r="AL11" s="120">
        <v>5.4014659999999999E-2</v>
      </c>
      <c r="AM11" s="121" t="s">
        <v>164</v>
      </c>
      <c r="AO11">
        <f>SUMPRODUCT(INDEX(Curvas!$B$3:$E$5,MATCH(AD11,Curvas!$A$3:$A$5,0),0),CHOOSE({1,2,3,4},AF11^3,AF11^2,AF11,1))</f>
        <v>35.140109566541966</v>
      </c>
      <c r="AP11" s="26">
        <v>6</v>
      </c>
      <c r="AQ11" s="92">
        <v>82</v>
      </c>
    </row>
    <row r="12" spans="4:44" ht="15" customHeight="1" x14ac:dyDescent="0.3">
      <c r="D12" s="11" t="s">
        <v>16</v>
      </c>
      <c r="E12" s="64">
        <v>31</v>
      </c>
      <c r="F12" s="60">
        <v>35</v>
      </c>
      <c r="G12" s="60">
        <v>36</v>
      </c>
      <c r="H12" s="60">
        <v>36</v>
      </c>
      <c r="I12" s="60">
        <v>37</v>
      </c>
      <c r="J12" s="60">
        <v>37</v>
      </c>
      <c r="K12" s="60">
        <v>38</v>
      </c>
      <c r="L12" s="60">
        <v>38</v>
      </c>
      <c r="M12" s="60">
        <v>38</v>
      </c>
      <c r="N12" s="60">
        <v>39</v>
      </c>
      <c r="O12" s="60">
        <v>39</v>
      </c>
      <c r="P12" s="60">
        <v>40</v>
      </c>
      <c r="Q12" s="60">
        <v>41</v>
      </c>
      <c r="R12" s="60">
        <v>41</v>
      </c>
      <c r="S12" s="60">
        <v>45</v>
      </c>
      <c r="T12" s="65">
        <v>46</v>
      </c>
      <c r="U12" s="55">
        <f t="shared" si="3"/>
        <v>38.5625</v>
      </c>
      <c r="V12" s="7">
        <f t="shared" si="4"/>
        <v>34.706250000000004</v>
      </c>
      <c r="W12" s="37">
        <f t="shared" si="5"/>
        <v>42.418750000000003</v>
      </c>
      <c r="X12" s="9">
        <f>AVERAGEIFS(E12:T12,E12:T12,"&gt;"&amp;V12, E12:T12, "&lt;"&amp;W12)</f>
        <v>38.07692307692308</v>
      </c>
      <c r="Y12" s="40">
        <f t="shared" si="7"/>
        <v>34.269230769230774</v>
      </c>
      <c r="Z12" s="43">
        <f t="shared" si="8"/>
        <v>41.884615384615394</v>
      </c>
      <c r="AB12" s="82">
        <v>57</v>
      </c>
      <c r="AC12" s="108" t="str">
        <f t="shared" si="0"/>
        <v>ES-07 (estaca 71-L)</v>
      </c>
      <c r="AD12" s="88">
        <v>0</v>
      </c>
      <c r="AE12" s="28">
        <f t="shared" si="9"/>
        <v>38.07692307692308</v>
      </c>
      <c r="AF12" s="30">
        <f t="shared" si="1"/>
        <v>37.284624799924678</v>
      </c>
      <c r="AG12" s="106">
        <f>SUMPRODUCT(INDEX(Curvas!$B$3:$E$5,MATCH(AD12,Curvas!$A$3:$A$5,0),0),CHOOSE({1,2,3,4},AF12^3,AF12^2,AF12,1))</f>
        <v>31.000729867772133</v>
      </c>
      <c r="AH12" s="122">
        <v>0.68100000000000005</v>
      </c>
      <c r="AI12" s="128">
        <f t="shared" si="10"/>
        <v>21.111497039952823</v>
      </c>
      <c r="AJ12" s="152">
        <f t="shared" si="2"/>
        <v>25.730459521215714</v>
      </c>
      <c r="AL12" s="120">
        <v>0.47528189999999998</v>
      </c>
      <c r="AM12" s="121" t="s">
        <v>165</v>
      </c>
      <c r="AO12">
        <f>SUMPRODUCT(INDEX(Curvas!$B$3:$E$5,MATCH(AD12,Curvas!$A$3:$A$5,0),0),CHOOSE({1,2,3,4},AF12^3,AF12^2,AF12,1))</f>
        <v>31.000729867772133</v>
      </c>
      <c r="AP12" s="26">
        <v>7</v>
      </c>
      <c r="AQ12" s="92">
        <v>82</v>
      </c>
    </row>
    <row r="13" spans="4:44" ht="15" customHeight="1" x14ac:dyDescent="0.3">
      <c r="D13" s="11" t="s">
        <v>17</v>
      </c>
      <c r="E13" s="64">
        <v>26</v>
      </c>
      <c r="F13" s="60">
        <v>27</v>
      </c>
      <c r="G13" s="60">
        <v>28</v>
      </c>
      <c r="H13" s="60">
        <v>29</v>
      </c>
      <c r="I13" s="60">
        <v>30</v>
      </c>
      <c r="J13" s="60">
        <v>30</v>
      </c>
      <c r="K13" s="60">
        <v>32</v>
      </c>
      <c r="L13" s="60">
        <v>32</v>
      </c>
      <c r="M13" s="60">
        <v>32</v>
      </c>
      <c r="N13" s="60">
        <v>33</v>
      </c>
      <c r="O13" s="60">
        <v>33</v>
      </c>
      <c r="P13" s="60">
        <v>34</v>
      </c>
      <c r="Q13" s="60">
        <v>35</v>
      </c>
      <c r="R13" s="60">
        <v>36</v>
      </c>
      <c r="S13" s="60">
        <v>36</v>
      </c>
      <c r="T13" s="65">
        <v>37</v>
      </c>
      <c r="U13" s="55">
        <f t="shared" si="3"/>
        <v>31.875</v>
      </c>
      <c r="V13" s="7">
        <f t="shared" si="4"/>
        <v>28.6875</v>
      </c>
      <c r="W13" s="37">
        <f t="shared" si="5"/>
        <v>35.0625</v>
      </c>
      <c r="X13" s="9">
        <f t="shared" ref="X13:X43" si="11">AVERAGEIFS(E13:T13,E13:T13,"&gt;"&amp;V13, E13:T13, "&lt;"&amp;W13)</f>
        <v>32</v>
      </c>
      <c r="Y13" s="40">
        <f t="shared" si="7"/>
        <v>28.8</v>
      </c>
      <c r="Z13" s="43">
        <f t="shared" si="8"/>
        <v>35.200000000000003</v>
      </c>
      <c r="AB13" s="82">
        <v>70</v>
      </c>
      <c r="AC13" s="108" t="str">
        <f t="shared" si="0"/>
        <v>ES-08 (estaca 60-N)</v>
      </c>
      <c r="AD13" s="88">
        <v>0</v>
      </c>
      <c r="AE13" s="28">
        <f t="shared" si="9"/>
        <v>32</v>
      </c>
      <c r="AF13" s="30">
        <f t="shared" si="1"/>
        <v>31.334149326805385</v>
      </c>
      <c r="AG13" s="106">
        <f>SUMPRODUCT(INDEX(Curvas!$B$3:$E$5,MATCH(AD13,Curvas!$A$3:$A$5,0),0),CHOOSE({1,2,3,4},AF13^3,AF13^2,AF13,1))</f>
        <v>22.749921978566366</v>
      </c>
      <c r="AH13" s="122">
        <v>0.68100000000000005</v>
      </c>
      <c r="AI13" s="128">
        <f t="shared" si="10"/>
        <v>15.492696867403696</v>
      </c>
      <c r="AJ13" s="152">
        <f t="shared" si="2"/>
        <v>22.042027442179176</v>
      </c>
      <c r="AL13" s="119"/>
      <c r="AO13">
        <f>SUMPRODUCT(INDEX(Curvas!$B$3:$E$5,MATCH(AD13,Curvas!$A$3:$A$5,0),0),CHOOSE({1,2,3,4},AF13^3,AF13^2,AF13,1))</f>
        <v>22.749921978566366</v>
      </c>
      <c r="AP13" s="26">
        <v>8</v>
      </c>
      <c r="AQ13" s="92">
        <v>82</v>
      </c>
    </row>
    <row r="14" spans="4:44" ht="15" customHeight="1" x14ac:dyDescent="0.3">
      <c r="D14" s="11" t="s">
        <v>18</v>
      </c>
      <c r="E14" s="64">
        <v>29</v>
      </c>
      <c r="F14" s="60">
        <v>30</v>
      </c>
      <c r="G14" s="60">
        <v>30</v>
      </c>
      <c r="H14" s="60">
        <v>30</v>
      </c>
      <c r="I14" s="60">
        <v>30</v>
      </c>
      <c r="J14" s="60">
        <v>31</v>
      </c>
      <c r="K14" s="60">
        <v>31</v>
      </c>
      <c r="L14" s="60">
        <v>32</v>
      </c>
      <c r="M14" s="60">
        <v>32</v>
      </c>
      <c r="N14" s="60">
        <v>32</v>
      </c>
      <c r="O14" s="60">
        <v>33</v>
      </c>
      <c r="P14" s="60">
        <v>34</v>
      </c>
      <c r="Q14" s="60">
        <v>35</v>
      </c>
      <c r="R14" s="60">
        <v>35</v>
      </c>
      <c r="S14" s="60">
        <v>36</v>
      </c>
      <c r="T14" s="65">
        <v>36</v>
      </c>
      <c r="U14" s="55">
        <f t="shared" si="3"/>
        <v>32.25</v>
      </c>
      <c r="V14" s="7">
        <f t="shared" si="4"/>
        <v>29.025000000000002</v>
      </c>
      <c r="W14" s="37">
        <f t="shared" si="5"/>
        <v>35.475000000000001</v>
      </c>
      <c r="X14" s="9">
        <f t="shared" si="11"/>
        <v>31.923076923076923</v>
      </c>
      <c r="Y14" s="40">
        <f t="shared" si="7"/>
        <v>28.73076923076923</v>
      </c>
      <c r="Z14" s="43">
        <f t="shared" si="8"/>
        <v>35.11538461538462</v>
      </c>
      <c r="AB14" s="82">
        <v>62</v>
      </c>
      <c r="AC14" s="108" t="str">
        <f t="shared" si="0"/>
        <v>ES-09 (estaca 60-O)</v>
      </c>
      <c r="AD14" s="88">
        <v>0</v>
      </c>
      <c r="AE14" s="28">
        <f t="shared" si="9"/>
        <v>31.923076923076923</v>
      </c>
      <c r="AF14" s="30">
        <f t="shared" si="1"/>
        <v>31.258826852462104</v>
      </c>
      <c r="AG14" s="106">
        <f>SUMPRODUCT(INDEX(Curvas!$B$3:$E$5,MATCH(AD14,Curvas!$A$3:$A$5,0),0),CHOOSE({1,2,3,4},AF14^3,AF14^2,AF14,1))</f>
        <v>22.648059275808794</v>
      </c>
      <c r="AH14" s="122">
        <v>0.68100000000000005</v>
      </c>
      <c r="AI14" s="128">
        <f t="shared" si="10"/>
        <v>15.423328366825791</v>
      </c>
      <c r="AJ14" s="152">
        <f t="shared" si="2"/>
        <v>21.992625527291114</v>
      </c>
      <c r="AO14">
        <f>SUMPRODUCT(INDEX(Curvas!$B$3:$E$5,MATCH(AD14,Curvas!$A$3:$A$5,0),0),CHOOSE({1,2,3,4},AF14^3,AF14^2,AF14,1))</f>
        <v>22.648059275808794</v>
      </c>
      <c r="AP14" s="26">
        <v>9</v>
      </c>
      <c r="AQ14" s="92">
        <v>82</v>
      </c>
    </row>
    <row r="15" spans="4:44" ht="15" customHeight="1" thickBot="1" x14ac:dyDescent="0.35">
      <c r="D15" s="11" t="s">
        <v>19</v>
      </c>
      <c r="E15" s="64">
        <v>30</v>
      </c>
      <c r="F15" s="60">
        <v>30</v>
      </c>
      <c r="G15" s="60">
        <v>31</v>
      </c>
      <c r="H15" s="60">
        <v>32</v>
      </c>
      <c r="I15" s="60">
        <v>32</v>
      </c>
      <c r="J15" s="60">
        <v>32</v>
      </c>
      <c r="K15" s="60">
        <v>33</v>
      </c>
      <c r="L15" s="60">
        <v>33</v>
      </c>
      <c r="M15" s="60">
        <v>33</v>
      </c>
      <c r="N15" s="60">
        <v>34</v>
      </c>
      <c r="O15" s="60">
        <v>34</v>
      </c>
      <c r="P15" s="60">
        <v>35</v>
      </c>
      <c r="Q15" s="60">
        <v>35</v>
      </c>
      <c r="R15" s="60">
        <v>35</v>
      </c>
      <c r="S15" s="60">
        <v>37</v>
      </c>
      <c r="T15" s="65">
        <v>38</v>
      </c>
      <c r="U15" s="55">
        <f t="shared" si="3"/>
        <v>33.375</v>
      </c>
      <c r="V15" s="7">
        <f t="shared" si="4"/>
        <v>30.037500000000001</v>
      </c>
      <c r="W15" s="37">
        <f t="shared" si="5"/>
        <v>36.712500000000006</v>
      </c>
      <c r="X15" s="9">
        <f t="shared" si="11"/>
        <v>33.25</v>
      </c>
      <c r="Y15" s="40">
        <f t="shared" si="7"/>
        <v>29.925000000000001</v>
      </c>
      <c r="Z15" s="43">
        <f t="shared" si="8"/>
        <v>36.575000000000003</v>
      </c>
      <c r="AB15" s="83">
        <v>6</v>
      </c>
      <c r="AC15" s="108" t="str">
        <f t="shared" si="0"/>
        <v>ES-10 (estaca 60-S)</v>
      </c>
      <c r="AD15" s="88">
        <v>0</v>
      </c>
      <c r="AE15" s="28">
        <f t="shared" si="9"/>
        <v>33.25</v>
      </c>
      <c r="AF15" s="30">
        <f t="shared" si="1"/>
        <v>32.558139534883722</v>
      </c>
      <c r="AG15" s="106">
        <f>SUMPRODUCT(INDEX(Curvas!$B$3:$E$5,MATCH(AD15,Curvas!$A$3:$A$5,0),0),CHOOSE({1,2,3,4},AF15^3,AF15^2,AF15,1))</f>
        <v>24.413305985868295</v>
      </c>
      <c r="AH15" s="122">
        <v>0.68100000000000005</v>
      </c>
      <c r="AI15" s="128">
        <f t="shared" si="10"/>
        <v>16.625461376376311</v>
      </c>
      <c r="AJ15" s="152">
        <f t="shared" si="2"/>
        <v>22.833625834789384</v>
      </c>
      <c r="AO15">
        <f>SUMPRODUCT(INDEX(Curvas!$B$3:$E$5,MATCH(AD15,Curvas!$A$3:$A$5,0),0),CHOOSE({1,2,3,4},AF15^3,AF15^2,AF15,1))</f>
        <v>24.413305985868295</v>
      </c>
      <c r="AP15" s="90">
        <v>10</v>
      </c>
      <c r="AQ15" s="93">
        <v>82</v>
      </c>
    </row>
    <row r="16" spans="4:44" ht="15" customHeight="1" x14ac:dyDescent="0.3">
      <c r="D16" s="11" t="s">
        <v>20</v>
      </c>
      <c r="E16" s="64">
        <v>30</v>
      </c>
      <c r="F16" s="60">
        <v>30</v>
      </c>
      <c r="G16" s="60">
        <v>31</v>
      </c>
      <c r="H16" s="60">
        <v>32</v>
      </c>
      <c r="I16" s="60">
        <v>32</v>
      </c>
      <c r="J16" s="60">
        <v>32</v>
      </c>
      <c r="K16" s="60">
        <v>33</v>
      </c>
      <c r="L16" s="60">
        <v>33</v>
      </c>
      <c r="M16" s="60">
        <v>33</v>
      </c>
      <c r="N16" s="60">
        <v>33</v>
      </c>
      <c r="O16" s="60">
        <v>34</v>
      </c>
      <c r="P16" s="60">
        <v>34</v>
      </c>
      <c r="Q16" s="60">
        <v>34</v>
      </c>
      <c r="R16" s="60">
        <v>34</v>
      </c>
      <c r="S16" s="60">
        <v>37</v>
      </c>
      <c r="T16" s="65">
        <v>39</v>
      </c>
      <c r="U16" s="55">
        <f t="shared" si="3"/>
        <v>33.1875</v>
      </c>
      <c r="V16" s="7">
        <f t="shared" si="4"/>
        <v>29.868750000000002</v>
      </c>
      <c r="W16" s="37">
        <f t="shared" si="5"/>
        <v>36.506250000000001</v>
      </c>
      <c r="X16" s="9">
        <f t="shared" si="11"/>
        <v>32.5</v>
      </c>
      <c r="Y16" s="40">
        <f t="shared" si="7"/>
        <v>29.25</v>
      </c>
      <c r="Z16" s="43">
        <f t="shared" si="8"/>
        <v>35.75</v>
      </c>
      <c r="AB16" s="83">
        <v>6</v>
      </c>
      <c r="AC16" s="108" t="str">
        <f t="shared" si="0"/>
        <v>ES-11 (estaca 60-L)</v>
      </c>
      <c r="AD16" s="88">
        <v>0</v>
      </c>
      <c r="AE16" s="28">
        <f t="shared" si="9"/>
        <v>32.5</v>
      </c>
      <c r="AF16" s="30">
        <f t="shared" si="1"/>
        <v>31.823745410036718</v>
      </c>
      <c r="AG16" s="106">
        <f>SUMPRODUCT(INDEX(Curvas!$B$3:$E$5,MATCH(AD16,Curvas!$A$3:$A$5,0),0),CHOOSE({1,2,3,4},AF16^3,AF16^2,AF16,1))</f>
        <v>23.413416069148607</v>
      </c>
      <c r="AH16" s="122">
        <v>0.68100000000000005</v>
      </c>
      <c r="AI16" s="128">
        <f t="shared" si="10"/>
        <v>15.944536343090203</v>
      </c>
      <c r="AJ16" s="152">
        <f t="shared" si="2"/>
        <v>22.361141735593666</v>
      </c>
      <c r="AO16">
        <f>SUMPRODUCT(INDEX(Curvas!$B$3:$E$5,MATCH(AD16,Curvas!$A$3:$A$5,0),0),CHOOSE({1,2,3,4},AF16^3,AF16^2,AF16,1))</f>
        <v>23.413416069148607</v>
      </c>
      <c r="AP16" s="102" t="s">
        <v>135</v>
      </c>
      <c r="AQ16" s="94">
        <f>SUM(AQ6:AQ15)</f>
        <v>817</v>
      </c>
    </row>
    <row r="17" spans="4:56" ht="15" customHeight="1" x14ac:dyDescent="0.3">
      <c r="D17" s="11" t="s">
        <v>21</v>
      </c>
      <c r="E17" s="64">
        <v>28</v>
      </c>
      <c r="F17" s="60">
        <v>30</v>
      </c>
      <c r="G17" s="60">
        <v>30</v>
      </c>
      <c r="H17" s="60">
        <v>30</v>
      </c>
      <c r="I17" s="60">
        <v>30</v>
      </c>
      <c r="J17" s="60">
        <v>32</v>
      </c>
      <c r="K17" s="60">
        <v>32</v>
      </c>
      <c r="L17" s="60">
        <v>32</v>
      </c>
      <c r="M17" s="60">
        <v>32</v>
      </c>
      <c r="N17" s="60">
        <v>32</v>
      </c>
      <c r="O17" s="60">
        <v>32</v>
      </c>
      <c r="P17" s="60">
        <v>33</v>
      </c>
      <c r="Q17" s="60">
        <v>33</v>
      </c>
      <c r="R17" s="60">
        <v>37</v>
      </c>
      <c r="S17" s="60">
        <v>39</v>
      </c>
      <c r="T17" s="65">
        <v>40</v>
      </c>
      <c r="U17" s="55">
        <f t="shared" si="3"/>
        <v>32.625</v>
      </c>
      <c r="V17" s="7">
        <f t="shared" si="4"/>
        <v>29.362500000000001</v>
      </c>
      <c r="W17" s="37">
        <f t="shared" si="5"/>
        <v>35.887500000000003</v>
      </c>
      <c r="X17" s="9">
        <f t="shared" si="11"/>
        <v>31.5</v>
      </c>
      <c r="Y17" s="40">
        <f t="shared" si="7"/>
        <v>28.35</v>
      </c>
      <c r="Z17" s="43">
        <f t="shared" si="8"/>
        <v>34.650000000000006</v>
      </c>
      <c r="AB17" s="84">
        <v>64.8</v>
      </c>
      <c r="AC17" s="108" t="str">
        <f t="shared" si="0"/>
        <v>ES-12 (estaca 44-N)</v>
      </c>
      <c r="AD17" s="88">
        <v>0</v>
      </c>
      <c r="AE17" s="28">
        <f t="shared" si="9"/>
        <v>31.5</v>
      </c>
      <c r="AF17" s="30">
        <f t="shared" si="1"/>
        <v>30.844553243574051</v>
      </c>
      <c r="AG17" s="106">
        <f>SUMPRODUCT(INDEX(Curvas!$B$3:$E$5,MATCH(AD17,Curvas!$A$3:$A$5,0),0),CHOOSE({1,2,3,4},AF17^3,AF17^2,AF17,1))</f>
        <v>22.088806948061265</v>
      </c>
      <c r="AH17" s="122">
        <v>0.68100000000000005</v>
      </c>
      <c r="AI17" s="128">
        <f t="shared" si="10"/>
        <v>15.042477531629723</v>
      </c>
      <c r="AJ17" s="152">
        <f t="shared" si="2"/>
        <v>21.719394452698449</v>
      </c>
      <c r="AO17">
        <f>SUMPRODUCT(INDEX(Curvas!$B$3:$E$5,MATCH(AD17,Curvas!$A$3:$A$5,0),0),CHOOSE({1,2,3,4},AF17^3,AF17^2,AF17,1))</f>
        <v>22.088806948061265</v>
      </c>
      <c r="AP17" s="103" t="s">
        <v>137</v>
      </c>
      <c r="AQ17" s="96">
        <f>COUNT(AQ6:AQ15)</f>
        <v>10</v>
      </c>
    </row>
    <row r="18" spans="4:56" ht="15" customHeight="1" x14ac:dyDescent="0.3">
      <c r="D18" s="11" t="s">
        <v>22</v>
      </c>
      <c r="E18" s="64">
        <v>25</v>
      </c>
      <c r="F18" s="60">
        <v>29</v>
      </c>
      <c r="G18" s="60">
        <v>30</v>
      </c>
      <c r="H18" s="60">
        <v>32</v>
      </c>
      <c r="I18" s="60">
        <v>32</v>
      </c>
      <c r="J18" s="60">
        <v>32</v>
      </c>
      <c r="K18" s="60">
        <v>32</v>
      </c>
      <c r="L18" s="60">
        <v>32</v>
      </c>
      <c r="M18" s="60">
        <v>32</v>
      </c>
      <c r="N18" s="60">
        <v>32</v>
      </c>
      <c r="O18" s="60">
        <v>32</v>
      </c>
      <c r="P18" s="60">
        <v>33</v>
      </c>
      <c r="Q18" s="60">
        <v>34</v>
      </c>
      <c r="R18" s="60">
        <v>34</v>
      </c>
      <c r="S18" s="60">
        <v>35</v>
      </c>
      <c r="T18" s="65">
        <v>38</v>
      </c>
      <c r="U18" s="55">
        <f t="shared" si="3"/>
        <v>32.125</v>
      </c>
      <c r="V18" s="7">
        <f t="shared" si="4"/>
        <v>28.912500000000001</v>
      </c>
      <c r="W18" s="37">
        <f t="shared" si="5"/>
        <v>35.337500000000006</v>
      </c>
      <c r="X18" s="9">
        <f t="shared" si="11"/>
        <v>32.214285714285715</v>
      </c>
      <c r="Y18" s="40">
        <f t="shared" si="7"/>
        <v>28.992857142857144</v>
      </c>
      <c r="Z18" s="43">
        <f t="shared" si="8"/>
        <v>35.43571428571429</v>
      </c>
      <c r="AB18" s="83">
        <v>6</v>
      </c>
      <c r="AC18" s="108" t="str">
        <f t="shared" si="0"/>
        <v>ES-13 (estaca 44-O)</v>
      </c>
      <c r="AD18" s="88">
        <v>0</v>
      </c>
      <c r="AE18" s="28">
        <f t="shared" si="9"/>
        <v>32.214285714285715</v>
      </c>
      <c r="AF18" s="30">
        <f t="shared" si="1"/>
        <v>31.543976219618813</v>
      </c>
      <c r="AG18" s="106">
        <f>SUMPRODUCT(INDEX(Curvas!$B$3:$E$5,MATCH(AD18,Curvas!$A$3:$A$5,0),0),CHOOSE({1,2,3,4},AF18^3,AF18^2,AF18,1))</f>
        <v>23.033980262940187</v>
      </c>
      <c r="AH18" s="122">
        <v>0.68100000000000005</v>
      </c>
      <c r="AI18" s="128">
        <f t="shared" si="10"/>
        <v>15.686140559062268</v>
      </c>
      <c r="AJ18" s="152">
        <f t="shared" si="2"/>
        <v>22.179210263942963</v>
      </c>
      <c r="AO18">
        <f>SUMPRODUCT(INDEX(Curvas!$B$3:$E$5,MATCH(AD18,Curvas!$A$3:$A$5,0),0),CHOOSE({1,2,3,4},AF18^3,AF18^2,AF18,1))</f>
        <v>23.033980262940187</v>
      </c>
      <c r="AP18" s="256" t="s">
        <v>133</v>
      </c>
      <c r="AQ18" s="257">
        <v>80</v>
      </c>
    </row>
    <row r="19" spans="4:56" ht="15" customHeight="1" x14ac:dyDescent="0.3">
      <c r="D19" s="11" t="s">
        <v>23</v>
      </c>
      <c r="E19" s="64">
        <v>29</v>
      </c>
      <c r="F19" s="60">
        <v>30</v>
      </c>
      <c r="G19" s="60">
        <v>30</v>
      </c>
      <c r="H19" s="60">
        <v>30</v>
      </c>
      <c r="I19" s="60">
        <v>31</v>
      </c>
      <c r="J19" s="60">
        <v>31</v>
      </c>
      <c r="K19" s="60">
        <v>32</v>
      </c>
      <c r="L19" s="60">
        <v>32</v>
      </c>
      <c r="M19" s="60">
        <v>33</v>
      </c>
      <c r="N19" s="60">
        <v>33</v>
      </c>
      <c r="O19" s="60">
        <v>34</v>
      </c>
      <c r="P19" s="60">
        <v>34</v>
      </c>
      <c r="Q19" s="60">
        <v>35</v>
      </c>
      <c r="R19" s="60">
        <v>35</v>
      </c>
      <c r="S19" s="60">
        <v>38</v>
      </c>
      <c r="T19" s="65">
        <v>47</v>
      </c>
      <c r="U19" s="55">
        <f t="shared" si="3"/>
        <v>33.375</v>
      </c>
      <c r="V19" s="7">
        <f t="shared" si="4"/>
        <v>30.037500000000001</v>
      </c>
      <c r="W19" s="37">
        <f t="shared" si="5"/>
        <v>36.712500000000006</v>
      </c>
      <c r="X19" s="9">
        <f t="shared" si="11"/>
        <v>33</v>
      </c>
      <c r="Y19" s="40">
        <f t="shared" si="7"/>
        <v>29.7</v>
      </c>
      <c r="Z19" s="43">
        <f t="shared" si="8"/>
        <v>36.300000000000004</v>
      </c>
      <c r="AB19" s="83">
        <v>6</v>
      </c>
      <c r="AC19" s="108" t="str">
        <f t="shared" si="0"/>
        <v>ES-14 (estaca 44-S)</v>
      </c>
      <c r="AD19" s="88">
        <v>0</v>
      </c>
      <c r="AE19" s="28">
        <f t="shared" si="9"/>
        <v>33</v>
      </c>
      <c r="AF19" s="30">
        <f t="shared" si="1"/>
        <v>32.313341493268055</v>
      </c>
      <c r="AG19" s="106">
        <f>SUMPRODUCT(INDEX(Curvas!$B$3:$E$5,MATCH(AD19,Curvas!$A$3:$A$5,0),0),CHOOSE({1,2,3,4},AF19^3,AF19^2,AF19,1))</f>
        <v>24.07937518241447</v>
      </c>
      <c r="AH19" s="122">
        <v>0.68100000000000005</v>
      </c>
      <c r="AI19" s="128">
        <f t="shared" si="10"/>
        <v>16.398054499224255</v>
      </c>
      <c r="AJ19" s="152">
        <f t="shared" si="2"/>
        <v>22.676926359091802</v>
      </c>
      <c r="AO19">
        <f>SUMPRODUCT(INDEX(Curvas!$B$3:$E$5,MATCH(AD19,Curvas!$A$3:$A$5,0),0),CHOOSE({1,2,3,4},AF19^3,AF19^2,AF19,1))</f>
        <v>24.07937518241447</v>
      </c>
      <c r="AP19" s="256"/>
      <c r="AQ19" s="257"/>
    </row>
    <row r="20" spans="4:56" ht="15" customHeight="1" thickBot="1" x14ac:dyDescent="0.35">
      <c r="D20" s="11" t="s">
        <v>24</v>
      </c>
      <c r="E20" s="64">
        <v>26</v>
      </c>
      <c r="F20" s="60">
        <v>29</v>
      </c>
      <c r="G20" s="60">
        <v>29</v>
      </c>
      <c r="H20" s="60">
        <v>29</v>
      </c>
      <c r="I20" s="60">
        <v>29</v>
      </c>
      <c r="J20" s="60">
        <v>29</v>
      </c>
      <c r="K20" s="60">
        <v>30</v>
      </c>
      <c r="L20" s="60">
        <v>30</v>
      </c>
      <c r="M20" s="60">
        <v>30</v>
      </c>
      <c r="N20" s="60">
        <v>30</v>
      </c>
      <c r="O20" s="60">
        <v>30</v>
      </c>
      <c r="P20" s="60">
        <v>31</v>
      </c>
      <c r="Q20" s="60">
        <v>32</v>
      </c>
      <c r="R20" s="60">
        <v>33</v>
      </c>
      <c r="S20" s="60">
        <v>34</v>
      </c>
      <c r="T20" s="65">
        <v>36</v>
      </c>
      <c r="U20" s="55">
        <f t="shared" si="3"/>
        <v>30.4375</v>
      </c>
      <c r="V20" s="7">
        <f t="shared" si="4"/>
        <v>27.393750000000001</v>
      </c>
      <c r="W20" s="37">
        <f t="shared" si="5"/>
        <v>33.481250000000003</v>
      </c>
      <c r="X20" s="9">
        <f t="shared" si="11"/>
        <v>30.076923076923077</v>
      </c>
      <c r="Y20" s="40">
        <f t="shared" si="7"/>
        <v>27.069230769230771</v>
      </c>
      <c r="Z20" s="43">
        <f t="shared" si="8"/>
        <v>33.08461538461539</v>
      </c>
      <c r="AB20" s="83">
        <v>6</v>
      </c>
      <c r="AC20" s="108" t="str">
        <f t="shared" si="0"/>
        <v>ES-15 (estaca 44-L)</v>
      </c>
      <c r="AD20" s="88">
        <v>0</v>
      </c>
      <c r="AE20" s="28">
        <f t="shared" si="9"/>
        <v>30.076923076923077</v>
      </c>
      <c r="AF20" s="30">
        <f t="shared" si="1"/>
        <v>29.451087468223331</v>
      </c>
      <c r="AG20" s="106">
        <f>SUMPRODUCT(INDEX(Curvas!$B$3:$E$5,MATCH(AD20,Curvas!$A$3:$A$5,0),0),CHOOSE({1,2,3,4},AF20^3,AF20^2,AF20,1))</f>
        <v>20.219433296740316</v>
      </c>
      <c r="AH20" s="122">
        <v>0.68100000000000005</v>
      </c>
      <c r="AI20" s="128">
        <f t="shared" si="10"/>
        <v>13.769434075080156</v>
      </c>
      <c r="AJ20" s="152">
        <f t="shared" si="2"/>
        <v>20.780025327090282</v>
      </c>
      <c r="AO20">
        <f>SUMPRODUCT(INDEX(Curvas!$B$3:$E$5,MATCH(AD20,Curvas!$A$3:$A$5,0),0),CHOOSE({1,2,3,4},AF20^3,AF20^2,AF20,1))</f>
        <v>20.219433296740316</v>
      </c>
      <c r="AP20" s="104" t="s">
        <v>138</v>
      </c>
      <c r="AQ20" s="97">
        <f>AQ17*AQ18/AQ16</f>
        <v>0.97919216646266827</v>
      </c>
    </row>
    <row r="21" spans="4:56" ht="15" customHeight="1" x14ac:dyDescent="0.3">
      <c r="D21" s="11" t="s">
        <v>131</v>
      </c>
      <c r="E21" s="64">
        <v>20</v>
      </c>
      <c r="F21" s="60">
        <v>30</v>
      </c>
      <c r="G21" s="60">
        <v>31</v>
      </c>
      <c r="H21" s="60">
        <v>31</v>
      </c>
      <c r="I21" s="60">
        <v>31</v>
      </c>
      <c r="J21" s="60">
        <v>32</v>
      </c>
      <c r="K21" s="60">
        <v>32</v>
      </c>
      <c r="L21" s="60">
        <v>32</v>
      </c>
      <c r="M21" s="60">
        <v>32</v>
      </c>
      <c r="N21" s="60">
        <v>32</v>
      </c>
      <c r="O21" s="60">
        <v>32</v>
      </c>
      <c r="P21" s="60">
        <v>32</v>
      </c>
      <c r="Q21" s="60">
        <v>34</v>
      </c>
      <c r="R21" s="60">
        <v>34</v>
      </c>
      <c r="S21" s="60">
        <v>36</v>
      </c>
      <c r="T21" s="65">
        <v>38</v>
      </c>
      <c r="U21" s="55">
        <f t="shared" si="3"/>
        <v>31.8125</v>
      </c>
      <c r="V21" s="7">
        <f t="shared" si="4"/>
        <v>28.631250000000001</v>
      </c>
      <c r="W21" s="37">
        <f t="shared" si="5"/>
        <v>34.993750000000006</v>
      </c>
      <c r="X21" s="9">
        <f t="shared" si="11"/>
        <v>31.923076923076923</v>
      </c>
      <c r="Y21" s="40">
        <f t="shared" si="7"/>
        <v>28.73076923076923</v>
      </c>
      <c r="Z21" s="43">
        <f t="shared" si="8"/>
        <v>35.11538461538462</v>
      </c>
      <c r="AB21" s="84">
        <v>65.8</v>
      </c>
      <c r="AC21" s="129" t="str">
        <f t="shared" si="0"/>
        <v>ES-16b (estaca 24-N)</v>
      </c>
      <c r="AD21" s="88">
        <v>0</v>
      </c>
      <c r="AE21" s="79">
        <f t="shared" si="9"/>
        <v>31.923076923076923</v>
      </c>
      <c r="AF21" s="30">
        <f t="shared" si="1"/>
        <v>31.258826852462104</v>
      </c>
      <c r="AG21" s="106">
        <f>SUMPRODUCT(INDEX(Curvas!$B$3:$E$5,MATCH(AD21,Curvas!$A$3:$A$5,0),0),CHOOSE({1,2,3,4},AF21^3,AF21^2,AF21,1))</f>
        <v>22.648059275808794</v>
      </c>
      <c r="AH21" s="122">
        <v>0.68100000000000005</v>
      </c>
      <c r="AI21" s="128">
        <f t="shared" si="10"/>
        <v>15.423328366825791</v>
      </c>
      <c r="AJ21" s="152">
        <f t="shared" si="2"/>
        <v>21.992625527291114</v>
      </c>
      <c r="AO21">
        <f>SUMPRODUCT(INDEX(Curvas!$B$3:$E$5,MATCH(AD21,Curvas!$A$3:$A$5,0),0),CHOOSE({1,2,3,4},AF21^3,AF21^2,AF21,1))</f>
        <v>22.648059275808794</v>
      </c>
    </row>
    <row r="22" spans="4:56" ht="15" customHeight="1" x14ac:dyDescent="0.3">
      <c r="D22" s="11" t="s">
        <v>132</v>
      </c>
      <c r="E22" s="64">
        <v>32</v>
      </c>
      <c r="F22" s="60">
        <v>32</v>
      </c>
      <c r="G22" s="60">
        <v>33</v>
      </c>
      <c r="H22" s="60">
        <v>33</v>
      </c>
      <c r="I22" s="60">
        <v>33</v>
      </c>
      <c r="J22" s="60">
        <v>34</v>
      </c>
      <c r="K22" s="60">
        <v>34</v>
      </c>
      <c r="L22" s="60">
        <v>34</v>
      </c>
      <c r="M22" s="60">
        <v>34</v>
      </c>
      <c r="N22" s="60">
        <v>34</v>
      </c>
      <c r="O22" s="60">
        <v>35</v>
      </c>
      <c r="P22" s="60">
        <v>35</v>
      </c>
      <c r="Q22" s="60">
        <v>36</v>
      </c>
      <c r="R22" s="60">
        <v>36</v>
      </c>
      <c r="S22" s="60">
        <v>40</v>
      </c>
      <c r="T22" s="65">
        <v>42</v>
      </c>
      <c r="U22" s="55">
        <f t="shared" si="3"/>
        <v>34.8125</v>
      </c>
      <c r="V22" s="7">
        <f t="shared" si="4"/>
        <v>31.331250000000001</v>
      </c>
      <c r="W22" s="37">
        <f t="shared" si="5"/>
        <v>38.293750000000003</v>
      </c>
      <c r="X22" s="9">
        <f t="shared" si="11"/>
        <v>33.928571428571431</v>
      </c>
      <c r="Y22" s="40">
        <f t="shared" si="7"/>
        <v>30.535714285714288</v>
      </c>
      <c r="Z22" s="43">
        <f t="shared" si="8"/>
        <v>37.321428571428577</v>
      </c>
      <c r="AB22" s="83">
        <v>6</v>
      </c>
      <c r="AC22" s="129" t="str">
        <f t="shared" si="0"/>
        <v>ES-17b (estaca 24-S)</v>
      </c>
      <c r="AD22" s="88">
        <v>0</v>
      </c>
      <c r="AE22" s="79">
        <f t="shared" si="9"/>
        <v>33.928571428571431</v>
      </c>
      <c r="AF22" s="30">
        <f t="shared" si="1"/>
        <v>33.222591362126245</v>
      </c>
      <c r="AG22" s="106">
        <f>SUMPRODUCT(INDEX(Curvas!$B$3:$E$5,MATCH(AD22,Curvas!$A$3:$A$5,0),0),CHOOSE({1,2,3,4},AF22^3,AF22^2,AF22,1))</f>
        <v>25.322989474082267</v>
      </c>
      <c r="AH22" s="122">
        <v>0.68100000000000005</v>
      </c>
      <c r="AI22" s="128">
        <f t="shared" si="10"/>
        <v>17.244955831850024</v>
      </c>
      <c r="AJ22" s="152">
        <f t="shared" si="2"/>
        <v>23.255145987217901</v>
      </c>
      <c r="AO22">
        <f>SUMPRODUCT(INDEX(Curvas!$B$3:$E$5,MATCH(AD22,Curvas!$A$3:$A$5,0),0),CHOOSE({1,2,3,4},AF22^3,AF22^2,AF22,1))</f>
        <v>25.322989474082267</v>
      </c>
    </row>
    <row r="23" spans="4:56" ht="15" customHeight="1" x14ac:dyDescent="0.3">
      <c r="D23" s="11" t="s">
        <v>27</v>
      </c>
      <c r="E23" s="64">
        <v>30</v>
      </c>
      <c r="F23" s="60">
        <v>32</v>
      </c>
      <c r="G23" s="60">
        <v>32</v>
      </c>
      <c r="H23" s="60">
        <v>32</v>
      </c>
      <c r="I23" s="60">
        <v>32</v>
      </c>
      <c r="J23" s="60">
        <v>33</v>
      </c>
      <c r="K23" s="60">
        <v>33</v>
      </c>
      <c r="L23" s="60">
        <v>34</v>
      </c>
      <c r="M23" s="60">
        <v>34</v>
      </c>
      <c r="N23" s="60">
        <v>34</v>
      </c>
      <c r="O23" s="60">
        <v>34</v>
      </c>
      <c r="P23" s="60">
        <v>36</v>
      </c>
      <c r="Q23" s="60">
        <v>36</v>
      </c>
      <c r="R23" s="60">
        <v>37</v>
      </c>
      <c r="S23" s="60">
        <v>37</v>
      </c>
      <c r="T23" s="65">
        <v>41</v>
      </c>
      <c r="U23" s="55">
        <f t="shared" si="3"/>
        <v>34.1875</v>
      </c>
      <c r="V23" s="7">
        <f t="shared" si="4"/>
        <v>30.768750000000001</v>
      </c>
      <c r="W23" s="37">
        <f t="shared" si="5"/>
        <v>37.606250000000003</v>
      </c>
      <c r="X23" s="9">
        <f t="shared" si="11"/>
        <v>34</v>
      </c>
      <c r="Y23" s="40">
        <f t="shared" si="7"/>
        <v>30.6</v>
      </c>
      <c r="Z23" s="43">
        <f t="shared" si="8"/>
        <v>37.400000000000006</v>
      </c>
      <c r="AB23" s="83">
        <v>6</v>
      </c>
      <c r="AC23" s="108" t="str">
        <f t="shared" si="0"/>
        <v>ES-18 (estaca 24-L)</v>
      </c>
      <c r="AD23" s="88">
        <v>0</v>
      </c>
      <c r="AE23" s="28">
        <f t="shared" si="9"/>
        <v>34</v>
      </c>
      <c r="AF23" s="30">
        <f t="shared" si="1"/>
        <v>33.292533659730722</v>
      </c>
      <c r="AG23" s="106">
        <f>SUMPRODUCT(INDEX(Curvas!$B$3:$E$5,MATCH(AD23,Curvas!$A$3:$A$5,0),0),CHOOSE({1,2,3,4},AF23^3,AF23^2,AF23,1))</f>
        <v>25.419032327423057</v>
      </c>
      <c r="AH23" s="122">
        <v>0.68100000000000005</v>
      </c>
      <c r="AI23" s="128">
        <f t="shared" si="10"/>
        <v>17.310361014975104</v>
      </c>
      <c r="AJ23" s="152">
        <f t="shared" si="2"/>
        <v>23.299204308937664</v>
      </c>
      <c r="AO23">
        <f>SUMPRODUCT(INDEX(Curvas!$B$3:$E$5,MATCH(AD23,Curvas!$A$3:$A$5,0),0),CHOOSE({1,2,3,4},AF23^3,AF23^2,AF23,1))</f>
        <v>25.419032327423057</v>
      </c>
    </row>
    <row r="24" spans="4:56" ht="15" customHeight="1" x14ac:dyDescent="0.3">
      <c r="D24" s="11" t="s">
        <v>28</v>
      </c>
      <c r="E24" s="64">
        <v>30</v>
      </c>
      <c r="F24" s="60">
        <v>31</v>
      </c>
      <c r="G24" s="60">
        <v>32</v>
      </c>
      <c r="H24" s="60">
        <v>32</v>
      </c>
      <c r="I24" s="60">
        <v>33</v>
      </c>
      <c r="J24" s="60">
        <v>34</v>
      </c>
      <c r="K24" s="60">
        <v>34</v>
      </c>
      <c r="L24" s="60">
        <v>34</v>
      </c>
      <c r="M24" s="60">
        <v>35</v>
      </c>
      <c r="N24" s="60">
        <v>35</v>
      </c>
      <c r="O24" s="60">
        <v>36</v>
      </c>
      <c r="P24" s="60">
        <v>36</v>
      </c>
      <c r="Q24" s="60">
        <v>36</v>
      </c>
      <c r="R24" s="60">
        <v>36</v>
      </c>
      <c r="S24" s="60">
        <v>36</v>
      </c>
      <c r="T24" s="65">
        <v>40</v>
      </c>
      <c r="U24" s="55">
        <f t="shared" si="3"/>
        <v>34.375</v>
      </c>
      <c r="V24" s="7">
        <f t="shared" si="4"/>
        <v>30.9375</v>
      </c>
      <c r="W24" s="37">
        <f t="shared" si="5"/>
        <v>37.8125</v>
      </c>
      <c r="X24" s="9">
        <f t="shared" si="11"/>
        <v>34.285714285714285</v>
      </c>
      <c r="Y24" s="40">
        <f t="shared" si="7"/>
        <v>30.857142857142858</v>
      </c>
      <c r="Z24" s="43">
        <f t="shared" si="8"/>
        <v>37.714285714285715</v>
      </c>
      <c r="AB24" s="85">
        <v>51.3</v>
      </c>
      <c r="AC24" s="108" t="str">
        <f t="shared" si="0"/>
        <v>ES-19 (capitel estaca 71-N)</v>
      </c>
      <c r="AD24" s="88">
        <v>0</v>
      </c>
      <c r="AE24" s="28">
        <f t="shared" si="9"/>
        <v>34.285714285714285</v>
      </c>
      <c r="AF24" s="30">
        <f t="shared" si="1"/>
        <v>33.572302850148624</v>
      </c>
      <c r="AG24" s="106">
        <f>SUMPRODUCT(INDEX(Curvas!$B$3:$E$5,MATCH(AD24,Curvas!$A$3:$A$5,0),0),CHOOSE({1,2,3,4},AF24^3,AF24^2,AF24,1))</f>
        <v>25.8037619430057</v>
      </c>
      <c r="AH24" s="122">
        <v>0.68100000000000005</v>
      </c>
      <c r="AI24" s="128">
        <f t="shared" si="10"/>
        <v>17.572361883186883</v>
      </c>
      <c r="AJ24" s="152">
        <f t="shared" si="2"/>
        <v>23.474864614236662</v>
      </c>
      <c r="AO24">
        <f>SUMPRODUCT(INDEX(Curvas!$B$3:$E$5,MATCH(AD24,Curvas!$A$3:$A$5,0),0),CHOOSE({1,2,3,4},AF24^3,AF24^2,AF24,1))</f>
        <v>25.8037619430057</v>
      </c>
    </row>
    <row r="25" spans="4:56" ht="15" customHeight="1" x14ac:dyDescent="0.3">
      <c r="D25" s="11" t="s">
        <v>29</v>
      </c>
      <c r="E25" s="64">
        <v>33</v>
      </c>
      <c r="F25" s="60">
        <v>34</v>
      </c>
      <c r="G25" s="60">
        <v>35</v>
      </c>
      <c r="H25" s="60">
        <v>35</v>
      </c>
      <c r="I25" s="60">
        <v>35</v>
      </c>
      <c r="J25" s="60">
        <v>36</v>
      </c>
      <c r="K25" s="60">
        <v>36</v>
      </c>
      <c r="L25" s="60">
        <v>36</v>
      </c>
      <c r="M25" s="60">
        <v>36</v>
      </c>
      <c r="N25" s="60">
        <v>36</v>
      </c>
      <c r="O25" s="60">
        <v>37</v>
      </c>
      <c r="P25" s="60">
        <v>38</v>
      </c>
      <c r="Q25" s="60">
        <v>38</v>
      </c>
      <c r="R25" s="60">
        <v>39</v>
      </c>
      <c r="S25" s="60">
        <v>39</v>
      </c>
      <c r="T25" s="65">
        <v>40</v>
      </c>
      <c r="U25" s="55">
        <f t="shared" si="3"/>
        <v>36.4375</v>
      </c>
      <c r="V25" s="7">
        <f t="shared" si="4"/>
        <v>32.793750000000003</v>
      </c>
      <c r="W25" s="37">
        <f t="shared" si="5"/>
        <v>40.081250000000004</v>
      </c>
      <c r="X25" s="9">
        <f t="shared" si="11"/>
        <v>36.4375</v>
      </c>
      <c r="Y25" s="40">
        <f t="shared" si="7"/>
        <v>32.793750000000003</v>
      </c>
      <c r="Z25" s="43">
        <f t="shared" si="8"/>
        <v>40.081250000000004</v>
      </c>
      <c r="AB25" s="83">
        <v>6</v>
      </c>
      <c r="AC25" s="108" t="str">
        <f t="shared" si="0"/>
        <v>ES-20 (capitel estaca 71-S)</v>
      </c>
      <c r="AD25" s="88">
        <v>0</v>
      </c>
      <c r="AE25" s="28">
        <f t="shared" si="9"/>
        <v>36.4375</v>
      </c>
      <c r="AF25" s="30">
        <f t="shared" si="1"/>
        <v>35.679314565483473</v>
      </c>
      <c r="AG25" s="106">
        <f>SUMPRODUCT(INDEX(Curvas!$B$3:$E$5,MATCH(AD25,Curvas!$A$3:$A$5,0),0),CHOOSE({1,2,3,4},AF25^3,AF25^2,AF25,1))</f>
        <v>28.731457164570205</v>
      </c>
      <c r="AH25" s="122">
        <v>0.68100000000000005</v>
      </c>
      <c r="AI25" s="128">
        <f t="shared" si="10"/>
        <v>19.566122329072311</v>
      </c>
      <c r="AJ25" s="152">
        <f t="shared" si="2"/>
        <v>24.770821468810993</v>
      </c>
      <c r="AO25">
        <f>SUMPRODUCT(INDEX(Curvas!$B$3:$E$5,MATCH(AD25,Curvas!$A$3:$A$5,0),0),CHOOSE({1,2,3,4},AF25^3,AF25^2,AF25,1))</f>
        <v>28.731457164570205</v>
      </c>
      <c r="AP25" s="19">
        <v>-6.5133300000000003E-3</v>
      </c>
      <c r="AQ25" s="19">
        <v>1.4013220900000001</v>
      </c>
      <c r="AR25" s="21">
        <v>-18.52010151</v>
      </c>
    </row>
    <row r="26" spans="4:56" ht="15" customHeight="1" x14ac:dyDescent="0.3">
      <c r="D26" s="11" t="s">
        <v>30</v>
      </c>
      <c r="E26" s="64">
        <v>32</v>
      </c>
      <c r="F26" s="60">
        <v>33</v>
      </c>
      <c r="G26" s="60">
        <v>33</v>
      </c>
      <c r="H26" s="60">
        <v>33</v>
      </c>
      <c r="I26" s="60">
        <v>34</v>
      </c>
      <c r="J26" s="60">
        <v>34</v>
      </c>
      <c r="K26" s="60">
        <v>34</v>
      </c>
      <c r="L26" s="60">
        <v>35</v>
      </c>
      <c r="M26" s="60">
        <v>36</v>
      </c>
      <c r="N26" s="60">
        <v>37</v>
      </c>
      <c r="O26" s="60">
        <v>37</v>
      </c>
      <c r="P26" s="60">
        <v>37</v>
      </c>
      <c r="Q26" s="60">
        <v>37</v>
      </c>
      <c r="R26" s="60">
        <v>38</v>
      </c>
      <c r="S26" s="60">
        <v>38</v>
      </c>
      <c r="T26" s="65">
        <v>39</v>
      </c>
      <c r="U26" s="55">
        <f t="shared" si="3"/>
        <v>35.4375</v>
      </c>
      <c r="V26" s="7">
        <f t="shared" si="4"/>
        <v>31.893750000000001</v>
      </c>
      <c r="W26" s="37">
        <f t="shared" si="5"/>
        <v>38.981250000000003</v>
      </c>
      <c r="X26" s="9">
        <f t="shared" si="11"/>
        <v>35.200000000000003</v>
      </c>
      <c r="Y26" s="40">
        <f t="shared" si="7"/>
        <v>31.680000000000003</v>
      </c>
      <c r="Z26" s="43">
        <f t="shared" si="8"/>
        <v>38.720000000000006</v>
      </c>
      <c r="AB26" s="84">
        <v>42.8</v>
      </c>
      <c r="AC26" s="108" t="str">
        <f t="shared" si="0"/>
        <v>ES-21 (capitel estaca 60-N)</v>
      </c>
      <c r="AD26" s="88">
        <v>0</v>
      </c>
      <c r="AE26" s="28">
        <f t="shared" si="9"/>
        <v>35.200000000000003</v>
      </c>
      <c r="AF26" s="30">
        <f t="shared" si="1"/>
        <v>34.467564259485926</v>
      </c>
      <c r="AG26" s="106">
        <f>SUMPRODUCT(INDEX(Curvas!$B$3:$E$5,MATCH(AD26,Curvas!$A$3:$A$5,0),0),CHOOSE({1,2,3,4},AF26^3,AF26^2,AF26,1))</f>
        <v>27.041058386564774</v>
      </c>
      <c r="AH26" s="122">
        <v>0.68100000000000005</v>
      </c>
      <c r="AI26" s="128">
        <f t="shared" si="10"/>
        <v>18.414960761250612</v>
      </c>
      <c r="AJ26" s="152">
        <f t="shared" si="2"/>
        <v>24.031087563254793</v>
      </c>
    </row>
    <row r="27" spans="4:56" ht="62.4" customHeight="1" thickBot="1" x14ac:dyDescent="0.35">
      <c r="D27" s="12" t="s">
        <v>31</v>
      </c>
      <c r="E27" s="66">
        <v>37</v>
      </c>
      <c r="F27" s="67">
        <v>39</v>
      </c>
      <c r="G27" s="67">
        <v>40</v>
      </c>
      <c r="H27" s="67">
        <v>41</v>
      </c>
      <c r="I27" s="67">
        <v>42</v>
      </c>
      <c r="J27" s="67">
        <v>42</v>
      </c>
      <c r="K27" s="67">
        <v>42</v>
      </c>
      <c r="L27" s="67">
        <v>42</v>
      </c>
      <c r="M27" s="67">
        <v>43</v>
      </c>
      <c r="N27" s="67">
        <v>43</v>
      </c>
      <c r="O27" s="67">
        <v>43</v>
      </c>
      <c r="P27" s="67">
        <v>43</v>
      </c>
      <c r="Q27" s="67">
        <v>44</v>
      </c>
      <c r="R27" s="67">
        <v>44</v>
      </c>
      <c r="S27" s="67">
        <v>44</v>
      </c>
      <c r="T27" s="68">
        <v>44</v>
      </c>
      <c r="U27" s="56">
        <f t="shared" si="3"/>
        <v>42.0625</v>
      </c>
      <c r="V27" s="8">
        <f t="shared" si="4"/>
        <v>37.856250000000003</v>
      </c>
      <c r="W27" s="38">
        <f t="shared" si="5"/>
        <v>46.268750000000004</v>
      </c>
      <c r="X27" s="10">
        <f t="shared" si="11"/>
        <v>42.4</v>
      </c>
      <c r="Y27" s="41">
        <f t="shared" si="7"/>
        <v>38.159999999999997</v>
      </c>
      <c r="Z27" s="44">
        <f t="shared" si="8"/>
        <v>46.64</v>
      </c>
      <c r="AB27" s="84">
        <v>52.8</v>
      </c>
      <c r="AC27" s="109" t="str">
        <f t="shared" si="0"/>
        <v>ES-22 (fundo da laje-PLE 02)</v>
      </c>
      <c r="AD27" s="145">
        <v>-90</v>
      </c>
      <c r="AE27" s="146">
        <f t="shared" si="9"/>
        <v>42.4</v>
      </c>
      <c r="AF27" s="147">
        <f t="shared" si="1"/>
        <v>41.517747858017131</v>
      </c>
      <c r="AG27" s="148">
        <f>SUMPRODUCT(INDEX(Curvas!$B$3:$E$5,MATCH(AD27,Curvas!$A$3:$A$5,0),0),CHOOSE({1,2,3,4},AF27^3,AF27^2,AF27,1))</f>
        <v>30.89024508362894</v>
      </c>
      <c r="AH27" s="122">
        <v>0.68100000000000005</v>
      </c>
      <c r="AI27" s="159">
        <f t="shared" si="10"/>
        <v>21.036256901951312</v>
      </c>
      <c r="AJ27" s="153">
        <f t="shared" si="2"/>
        <v>25.684567670980822</v>
      </c>
      <c r="BC27" s="250" t="s">
        <v>171</v>
      </c>
      <c r="BD27" s="250" t="s">
        <v>157</v>
      </c>
    </row>
    <row r="28" spans="4:56" ht="15" hidden="1" customHeight="1" thickBot="1" x14ac:dyDescent="0.35">
      <c r="D28" s="48" t="s">
        <v>129</v>
      </c>
      <c r="E28" s="76">
        <v>32</v>
      </c>
      <c r="F28" s="77">
        <v>32</v>
      </c>
      <c r="G28" s="77">
        <v>33</v>
      </c>
      <c r="H28" s="77">
        <v>33</v>
      </c>
      <c r="I28" s="77">
        <v>33</v>
      </c>
      <c r="J28" s="77">
        <v>34</v>
      </c>
      <c r="K28" s="77">
        <v>34</v>
      </c>
      <c r="L28" s="77">
        <v>34</v>
      </c>
      <c r="M28" s="77">
        <v>34</v>
      </c>
      <c r="N28" s="77">
        <v>34</v>
      </c>
      <c r="O28" s="77">
        <v>35</v>
      </c>
      <c r="P28" s="77">
        <v>35</v>
      </c>
      <c r="Q28" s="77">
        <v>36</v>
      </c>
      <c r="R28" s="77">
        <v>36</v>
      </c>
      <c r="S28" s="77">
        <v>40</v>
      </c>
      <c r="T28" s="78">
        <v>42</v>
      </c>
      <c r="U28" s="69">
        <f t="shared" si="3"/>
        <v>34.8125</v>
      </c>
      <c r="V28" s="70">
        <f t="shared" si="4"/>
        <v>31.331250000000001</v>
      </c>
      <c r="W28" s="71">
        <f t="shared" si="5"/>
        <v>38.293750000000003</v>
      </c>
      <c r="X28" s="72">
        <f t="shared" si="11"/>
        <v>33.928571428571431</v>
      </c>
      <c r="Y28" s="73">
        <f t="shared" si="7"/>
        <v>30.535714285714288</v>
      </c>
      <c r="Z28" s="74">
        <f t="shared" si="8"/>
        <v>37.321428571428577</v>
      </c>
      <c r="AB28" s="83">
        <v>65.8</v>
      </c>
      <c r="AC28" s="143" t="str">
        <f>D28</f>
        <v>ES-17.2 (estaca 24-S)</v>
      </c>
      <c r="AD28" s="144"/>
      <c r="AE28" s="87">
        <f t="shared" si="9"/>
        <v>33.928571428571431</v>
      </c>
      <c r="AF28" s="87"/>
      <c r="AG28" s="87"/>
      <c r="AH28" s="106" cm="1">
        <f t="array" ref="AH28">SUMPRODUCT(TRANSPOSE($AL$6:$AL$12),CHOOSE({1,2,3,4,5,6,7},AG28^6,AG28^5,AG28^4,AG28^3,AG28^2,AG28,1))</f>
        <v>0.47528189999999998</v>
      </c>
      <c r="AI28" s="131"/>
      <c r="AJ28" s="154"/>
      <c r="BC28" s="250"/>
      <c r="BD28" s="250"/>
    </row>
    <row r="29" spans="4:56" ht="15" hidden="1" customHeight="1" thickBot="1" x14ac:dyDescent="0.35">
      <c r="D29" s="11" t="s">
        <v>130</v>
      </c>
      <c r="E29" s="64">
        <v>20</v>
      </c>
      <c r="F29" s="60">
        <v>30</v>
      </c>
      <c r="G29" s="60">
        <v>31</v>
      </c>
      <c r="H29" s="60">
        <v>31</v>
      </c>
      <c r="I29" s="60">
        <v>31</v>
      </c>
      <c r="J29" s="60">
        <v>32</v>
      </c>
      <c r="K29" s="60">
        <v>32</v>
      </c>
      <c r="L29" s="60">
        <v>32</v>
      </c>
      <c r="M29" s="60">
        <v>32</v>
      </c>
      <c r="N29" s="60">
        <v>32</v>
      </c>
      <c r="O29" s="60">
        <v>32</v>
      </c>
      <c r="P29" s="60">
        <v>32</v>
      </c>
      <c r="Q29" s="60">
        <v>34</v>
      </c>
      <c r="R29" s="60">
        <v>34</v>
      </c>
      <c r="S29" s="60">
        <v>36</v>
      </c>
      <c r="T29" s="65">
        <v>38</v>
      </c>
      <c r="U29" s="55">
        <f t="shared" si="3"/>
        <v>31.8125</v>
      </c>
      <c r="V29" s="7">
        <f t="shared" si="4"/>
        <v>28.631250000000001</v>
      </c>
      <c r="W29" s="37">
        <f t="shared" si="5"/>
        <v>34.993750000000006</v>
      </c>
      <c r="X29" s="9">
        <f t="shared" si="11"/>
        <v>31.923076923076923</v>
      </c>
      <c r="Y29" s="40">
        <f t="shared" si="7"/>
        <v>28.73076923076923</v>
      </c>
      <c r="Z29" s="43">
        <f t="shared" si="8"/>
        <v>35.11538461538462</v>
      </c>
      <c r="AB29" s="83">
        <v>6</v>
      </c>
      <c r="AC29" s="130" t="str">
        <f t="shared" ref="AC29:AC43" si="12">D29</f>
        <v>ES-16.2 (estaca 24-N)</v>
      </c>
      <c r="AD29" s="31"/>
      <c r="AE29" s="32">
        <f t="shared" si="9"/>
        <v>31.923076923076923</v>
      </c>
      <c r="AF29" s="87"/>
      <c r="AG29" s="87"/>
      <c r="AH29" s="106" cm="1">
        <f t="array" ref="AH29">SUMPRODUCT(TRANSPOSE($AL$6:$AL$12),CHOOSE({1,2,3,4,5,6,7},AG29^6,AG29^5,AG29^4,AG29^3,AG29^2,AG29,1))</f>
        <v>0.47528189999999998</v>
      </c>
      <c r="AI29" s="131"/>
      <c r="AJ29" s="155"/>
      <c r="AL29" s="116"/>
      <c r="AM29" s="116"/>
      <c r="AN29" s="116"/>
      <c r="AO29" s="262"/>
      <c r="BC29" s="19"/>
      <c r="BD29" s="19"/>
    </row>
    <row r="30" spans="4:56" ht="15" hidden="1" customHeight="1" thickBot="1" x14ac:dyDescent="0.35">
      <c r="D30" s="11" t="s">
        <v>126</v>
      </c>
      <c r="E30" s="64">
        <v>30</v>
      </c>
      <c r="F30" s="60">
        <v>30</v>
      </c>
      <c r="G30" s="60">
        <v>31</v>
      </c>
      <c r="H30" s="60">
        <v>31</v>
      </c>
      <c r="I30" s="60">
        <v>31</v>
      </c>
      <c r="J30" s="60">
        <v>31</v>
      </c>
      <c r="K30" s="60">
        <v>31</v>
      </c>
      <c r="L30" s="60">
        <v>32</v>
      </c>
      <c r="M30" s="60">
        <v>33</v>
      </c>
      <c r="N30" s="60">
        <v>33</v>
      </c>
      <c r="O30" s="60">
        <v>34</v>
      </c>
      <c r="P30" s="60">
        <v>35</v>
      </c>
      <c r="Q30" s="60">
        <v>37</v>
      </c>
      <c r="R30" s="60">
        <v>39</v>
      </c>
      <c r="S30" s="60">
        <v>39</v>
      </c>
      <c r="T30" s="65">
        <v>39</v>
      </c>
      <c r="U30" s="55">
        <f t="shared" si="3"/>
        <v>33.5</v>
      </c>
      <c r="V30" s="7">
        <f t="shared" si="4"/>
        <v>30.150000000000002</v>
      </c>
      <c r="W30" s="37">
        <f t="shared" si="5"/>
        <v>36.85</v>
      </c>
      <c r="X30" s="9">
        <f t="shared" si="11"/>
        <v>32.200000000000003</v>
      </c>
      <c r="Y30" s="40">
        <f t="shared" si="7"/>
        <v>28.980000000000004</v>
      </c>
      <c r="Z30" s="43">
        <f t="shared" si="8"/>
        <v>35.420000000000009</v>
      </c>
      <c r="AB30" s="83">
        <v>6</v>
      </c>
      <c r="AC30" s="130" t="str">
        <f t="shared" si="12"/>
        <v>ES-25 (substituir dados)</v>
      </c>
      <c r="AD30" s="31"/>
      <c r="AE30" s="32">
        <f t="shared" si="9"/>
        <v>32.200000000000003</v>
      </c>
      <c r="AF30" s="87"/>
      <c r="AG30" s="87"/>
      <c r="AH30" s="106" cm="1">
        <f t="array" ref="AH30">SUMPRODUCT(TRANSPOSE($AL$6:$AL$12),CHOOSE({1,2,3,4,5,6,7},AG30^6,AG30^5,AG30^4,AG30^3,AG30^2,AG30,1))</f>
        <v>0.47528189999999998</v>
      </c>
      <c r="AI30" s="131"/>
      <c r="AJ30" s="155"/>
      <c r="AL30" s="116"/>
      <c r="AM30" s="116"/>
      <c r="AN30" s="116"/>
      <c r="AO30" s="262"/>
      <c r="BC30" s="19"/>
      <c r="BD30" s="19"/>
    </row>
    <row r="31" spans="4:56" ht="15" hidden="1" customHeight="1" thickBot="1" x14ac:dyDescent="0.35">
      <c r="D31" s="11" t="s">
        <v>127</v>
      </c>
      <c r="E31" s="64">
        <v>30</v>
      </c>
      <c r="F31" s="60">
        <v>31</v>
      </c>
      <c r="G31" s="60">
        <v>31</v>
      </c>
      <c r="H31" s="60">
        <v>31</v>
      </c>
      <c r="I31" s="60">
        <v>31</v>
      </c>
      <c r="J31" s="60">
        <v>31</v>
      </c>
      <c r="K31" s="60">
        <v>31</v>
      </c>
      <c r="L31" s="60">
        <v>32</v>
      </c>
      <c r="M31" s="60">
        <v>33</v>
      </c>
      <c r="N31" s="60">
        <v>33</v>
      </c>
      <c r="O31" s="60">
        <v>34</v>
      </c>
      <c r="P31" s="60">
        <v>36</v>
      </c>
      <c r="Q31" s="60">
        <v>37</v>
      </c>
      <c r="R31" s="60">
        <v>39</v>
      </c>
      <c r="S31" s="60">
        <v>41</v>
      </c>
      <c r="T31" s="65">
        <v>48</v>
      </c>
      <c r="U31" s="55">
        <f t="shared" si="3"/>
        <v>34.3125</v>
      </c>
      <c r="V31" s="7">
        <f t="shared" si="4"/>
        <v>30.881250000000001</v>
      </c>
      <c r="W31" s="37">
        <f t="shared" si="5"/>
        <v>37.743750000000006</v>
      </c>
      <c r="X31" s="9">
        <f t="shared" si="11"/>
        <v>32.583333333333336</v>
      </c>
      <c r="Y31" s="40">
        <f t="shared" si="7"/>
        <v>29.325000000000003</v>
      </c>
      <c r="Z31" s="43">
        <f t="shared" si="8"/>
        <v>35.841666666666676</v>
      </c>
      <c r="AB31" s="83">
        <v>6</v>
      </c>
      <c r="AC31" s="130" t="str">
        <f t="shared" si="12"/>
        <v>ES-26 (substituir dados)</v>
      </c>
      <c r="AD31" s="31"/>
      <c r="AE31" s="32">
        <f t="shared" si="9"/>
        <v>32.583333333333336</v>
      </c>
      <c r="AF31" s="87"/>
      <c r="AG31" s="87"/>
      <c r="AH31" s="106" cm="1">
        <f t="array" ref="AH31">SUMPRODUCT(TRANSPOSE($AL$6:$AL$12),CHOOSE({1,2,3,4,5,6,7},AG31^6,AG31^5,AG31^4,AG31^3,AG31^2,AG31,1))</f>
        <v>0.47528189999999998</v>
      </c>
      <c r="AI31" s="131"/>
      <c r="AJ31" s="155"/>
      <c r="AL31" s="117"/>
      <c r="AM31" s="117"/>
      <c r="AN31" s="117"/>
      <c r="AO31" s="263"/>
      <c r="BC31" s="19"/>
      <c r="BD31" s="19"/>
    </row>
    <row r="32" spans="4:56" ht="15" hidden="1" customHeight="1" thickBot="1" x14ac:dyDescent="0.35">
      <c r="D32" s="11" t="s">
        <v>114</v>
      </c>
      <c r="E32" s="64">
        <v>30</v>
      </c>
      <c r="F32" s="60">
        <v>30</v>
      </c>
      <c r="G32" s="60">
        <v>30</v>
      </c>
      <c r="H32" s="60">
        <v>31</v>
      </c>
      <c r="I32" s="60">
        <v>31</v>
      </c>
      <c r="J32" s="60">
        <v>31</v>
      </c>
      <c r="K32" s="60">
        <v>31</v>
      </c>
      <c r="L32" s="60">
        <v>32</v>
      </c>
      <c r="M32" s="60">
        <v>33</v>
      </c>
      <c r="N32" s="60">
        <v>33</v>
      </c>
      <c r="O32" s="60">
        <v>34</v>
      </c>
      <c r="P32" s="60">
        <v>36</v>
      </c>
      <c r="Q32" s="60">
        <v>38</v>
      </c>
      <c r="R32" s="60">
        <v>39</v>
      </c>
      <c r="S32" s="60">
        <v>41</v>
      </c>
      <c r="T32" s="65">
        <v>48</v>
      </c>
      <c r="U32" s="55">
        <f t="shared" si="3"/>
        <v>34.25</v>
      </c>
      <c r="V32" s="7">
        <f t="shared" si="4"/>
        <v>30.824999999999999</v>
      </c>
      <c r="W32" s="37">
        <f t="shared" si="5"/>
        <v>37.675000000000004</v>
      </c>
      <c r="X32" s="9">
        <f t="shared" si="11"/>
        <v>32.444444444444443</v>
      </c>
      <c r="Y32" s="40">
        <f t="shared" si="7"/>
        <v>29.2</v>
      </c>
      <c r="Z32" s="43">
        <f t="shared" si="8"/>
        <v>35.68888888888889</v>
      </c>
      <c r="AB32" s="83">
        <v>6</v>
      </c>
      <c r="AC32" s="130" t="str">
        <f t="shared" si="12"/>
        <v>ES-27</v>
      </c>
      <c r="AD32" s="31"/>
      <c r="AE32" s="32">
        <f t="shared" si="9"/>
        <v>32.444444444444443</v>
      </c>
      <c r="AF32" s="87"/>
      <c r="AG32" s="87"/>
      <c r="AH32" s="106" cm="1">
        <f t="array" ref="AH32">SUMPRODUCT(TRANSPOSE($AL$6:$AL$12),CHOOSE({1,2,3,4,5,6,7},AG32^6,AG32^5,AG32^4,AG32^3,AG32^2,AG32,1))</f>
        <v>0.47528189999999998</v>
      </c>
      <c r="AI32" s="131"/>
      <c r="AJ32" s="155"/>
      <c r="BC32" s="19"/>
      <c r="BD32" s="19"/>
    </row>
    <row r="33" spans="4:56" ht="15" hidden="1" customHeight="1" thickBot="1" x14ac:dyDescent="0.35">
      <c r="D33" s="11" t="s">
        <v>115</v>
      </c>
      <c r="E33" s="64">
        <v>30</v>
      </c>
      <c r="F33" s="60">
        <v>30</v>
      </c>
      <c r="G33" s="60">
        <v>30</v>
      </c>
      <c r="H33" s="60">
        <v>31</v>
      </c>
      <c r="I33" s="60">
        <v>31</v>
      </c>
      <c r="J33" s="60">
        <v>31</v>
      </c>
      <c r="K33" s="60">
        <v>31</v>
      </c>
      <c r="L33" s="60">
        <v>32</v>
      </c>
      <c r="M33" s="60">
        <v>33</v>
      </c>
      <c r="N33" s="60">
        <v>33</v>
      </c>
      <c r="O33" s="60">
        <v>36</v>
      </c>
      <c r="P33" s="60">
        <v>38</v>
      </c>
      <c r="Q33" s="60">
        <v>39</v>
      </c>
      <c r="R33" s="60">
        <v>39</v>
      </c>
      <c r="S33" s="60">
        <v>41</v>
      </c>
      <c r="T33" s="65">
        <v>48</v>
      </c>
      <c r="U33" s="55">
        <f t="shared" si="3"/>
        <v>34.5625</v>
      </c>
      <c r="V33" s="7">
        <f t="shared" si="4"/>
        <v>31.106249999999999</v>
      </c>
      <c r="W33" s="37">
        <f t="shared" si="5"/>
        <v>38.018750000000004</v>
      </c>
      <c r="X33" s="9">
        <f t="shared" si="11"/>
        <v>34.4</v>
      </c>
      <c r="Y33" s="40">
        <f t="shared" si="7"/>
        <v>30.96</v>
      </c>
      <c r="Z33" s="43">
        <f t="shared" si="8"/>
        <v>37.840000000000003</v>
      </c>
      <c r="AB33" s="83">
        <v>6</v>
      </c>
      <c r="AC33" s="130" t="str">
        <f t="shared" si="12"/>
        <v>ES-28</v>
      </c>
      <c r="AD33" s="31"/>
      <c r="AE33" s="32">
        <f t="shared" si="9"/>
        <v>34.4</v>
      </c>
      <c r="AF33" s="87"/>
      <c r="AG33" s="87"/>
      <c r="AH33" s="106" cm="1">
        <f t="array" ref="AH33">SUMPRODUCT(TRANSPOSE($AL$6:$AL$12),CHOOSE({1,2,3,4,5,6,7},AG33^6,AG33^5,AG33^4,AG33^3,AG33^2,AG33,1))</f>
        <v>0.47528189999999998</v>
      </c>
      <c r="AI33" s="131"/>
      <c r="AJ33" s="155"/>
      <c r="BC33" s="19"/>
      <c r="BD33" s="19"/>
    </row>
    <row r="34" spans="4:56" ht="15" hidden="1" customHeight="1" thickBot="1" x14ac:dyDescent="0.35">
      <c r="D34" s="11" t="s">
        <v>116</v>
      </c>
      <c r="E34" s="64">
        <v>30</v>
      </c>
      <c r="F34" s="60">
        <v>30</v>
      </c>
      <c r="G34" s="60">
        <v>30</v>
      </c>
      <c r="H34" s="60">
        <v>31</v>
      </c>
      <c r="I34" s="60">
        <v>31</v>
      </c>
      <c r="J34" s="60">
        <v>31</v>
      </c>
      <c r="K34" s="60">
        <v>31</v>
      </c>
      <c r="L34" s="60">
        <v>32</v>
      </c>
      <c r="M34" s="60">
        <v>33</v>
      </c>
      <c r="N34" s="60">
        <v>33</v>
      </c>
      <c r="O34" s="60">
        <v>34</v>
      </c>
      <c r="P34" s="60">
        <v>35</v>
      </c>
      <c r="Q34" s="60">
        <v>37</v>
      </c>
      <c r="R34" s="60">
        <v>39</v>
      </c>
      <c r="S34" s="60">
        <v>41</v>
      </c>
      <c r="T34" s="65">
        <v>48</v>
      </c>
      <c r="U34" s="55">
        <f t="shared" si="3"/>
        <v>34.125</v>
      </c>
      <c r="V34" s="7">
        <f t="shared" si="4"/>
        <v>30.712500000000002</v>
      </c>
      <c r="W34" s="37">
        <f t="shared" si="5"/>
        <v>37.537500000000001</v>
      </c>
      <c r="X34" s="9">
        <f t="shared" si="11"/>
        <v>32.799999999999997</v>
      </c>
      <c r="Y34" s="40">
        <f t="shared" si="7"/>
        <v>29.52</v>
      </c>
      <c r="Z34" s="43">
        <f t="shared" si="8"/>
        <v>36.08</v>
      </c>
      <c r="AB34" s="83">
        <v>6</v>
      </c>
      <c r="AC34" s="130" t="str">
        <f t="shared" si="12"/>
        <v>ES-29</v>
      </c>
      <c r="AD34" s="31"/>
      <c r="AE34" s="32">
        <f t="shared" si="9"/>
        <v>32.799999999999997</v>
      </c>
      <c r="AF34" s="87"/>
      <c r="AG34" s="87"/>
      <c r="AH34" s="106" cm="1">
        <f t="array" ref="AH34">SUMPRODUCT(TRANSPOSE($AL$6:$AL$12),CHOOSE({1,2,3,4,5,6,7},AG34^6,AG34^5,AG34^4,AG34^3,AG34^2,AG34,1))</f>
        <v>0.47528189999999998</v>
      </c>
      <c r="AI34" s="131"/>
      <c r="AJ34" s="155"/>
      <c r="BC34" s="19"/>
      <c r="BD34" s="19"/>
    </row>
    <row r="35" spans="4:56" ht="15" hidden="1" customHeight="1" thickBot="1" x14ac:dyDescent="0.35">
      <c r="D35" s="11" t="s">
        <v>117</v>
      </c>
      <c r="E35" s="64">
        <v>29</v>
      </c>
      <c r="F35" s="60">
        <v>30</v>
      </c>
      <c r="G35" s="60">
        <v>30</v>
      </c>
      <c r="H35" s="60">
        <v>31</v>
      </c>
      <c r="I35" s="60">
        <v>31</v>
      </c>
      <c r="J35" s="60">
        <v>31</v>
      </c>
      <c r="K35" s="60">
        <v>31</v>
      </c>
      <c r="L35" s="60">
        <v>32</v>
      </c>
      <c r="M35" s="60">
        <v>33</v>
      </c>
      <c r="N35" s="60">
        <v>33</v>
      </c>
      <c r="O35" s="60">
        <v>34</v>
      </c>
      <c r="P35" s="60">
        <v>35</v>
      </c>
      <c r="Q35" s="60">
        <v>37</v>
      </c>
      <c r="R35" s="60">
        <v>39</v>
      </c>
      <c r="S35" s="60">
        <v>41</v>
      </c>
      <c r="T35" s="65">
        <v>48</v>
      </c>
      <c r="U35" s="55">
        <f t="shared" si="3"/>
        <v>34.0625</v>
      </c>
      <c r="V35" s="7">
        <f t="shared" si="4"/>
        <v>30.65625</v>
      </c>
      <c r="W35" s="37">
        <f t="shared" si="5"/>
        <v>37.46875</v>
      </c>
      <c r="X35" s="9">
        <f t="shared" si="11"/>
        <v>32.799999999999997</v>
      </c>
      <c r="Y35" s="40">
        <f t="shared" si="7"/>
        <v>29.52</v>
      </c>
      <c r="Z35" s="43">
        <f t="shared" si="8"/>
        <v>36.08</v>
      </c>
      <c r="AB35" s="83">
        <v>6</v>
      </c>
      <c r="AC35" s="130" t="str">
        <f t="shared" si="12"/>
        <v>ES-30</v>
      </c>
      <c r="AD35" s="31"/>
      <c r="AE35" s="32">
        <f t="shared" si="9"/>
        <v>32.799999999999997</v>
      </c>
      <c r="AF35" s="87"/>
      <c r="AG35" s="87"/>
      <c r="AH35" s="106" cm="1">
        <f t="array" ref="AH35">SUMPRODUCT(TRANSPOSE($AL$6:$AL$12),CHOOSE({1,2,3,4,5,6,7},AG35^6,AG35^5,AG35^4,AG35^3,AG35^2,AG35,1))</f>
        <v>0.47528189999999998</v>
      </c>
      <c r="AI35" s="131"/>
      <c r="AJ35" s="155"/>
      <c r="BC35" s="19"/>
      <c r="BD35" s="19"/>
    </row>
    <row r="36" spans="4:56" ht="15" hidden="1" customHeight="1" thickBot="1" x14ac:dyDescent="0.35">
      <c r="D36" s="11" t="s">
        <v>118</v>
      </c>
      <c r="E36" s="64">
        <v>30</v>
      </c>
      <c r="F36" s="60">
        <v>30</v>
      </c>
      <c r="G36" s="60">
        <v>31</v>
      </c>
      <c r="H36" s="60">
        <v>31</v>
      </c>
      <c r="I36" s="60">
        <v>31</v>
      </c>
      <c r="J36" s="60">
        <v>31</v>
      </c>
      <c r="K36" s="60">
        <v>31</v>
      </c>
      <c r="L36" s="60">
        <v>32</v>
      </c>
      <c r="M36" s="60">
        <v>33</v>
      </c>
      <c r="N36" s="60">
        <v>33</v>
      </c>
      <c r="O36" s="60">
        <v>34</v>
      </c>
      <c r="P36" s="60">
        <v>35</v>
      </c>
      <c r="Q36" s="60">
        <v>37</v>
      </c>
      <c r="R36" s="60">
        <v>39</v>
      </c>
      <c r="S36" s="60">
        <v>41</v>
      </c>
      <c r="T36" s="65">
        <v>48</v>
      </c>
      <c r="U36" s="55">
        <f t="shared" si="3"/>
        <v>34.1875</v>
      </c>
      <c r="V36" s="7">
        <f t="shared" si="4"/>
        <v>30.768750000000001</v>
      </c>
      <c r="W36" s="37">
        <f t="shared" si="5"/>
        <v>37.606250000000003</v>
      </c>
      <c r="X36" s="9">
        <f t="shared" si="11"/>
        <v>32.636363636363633</v>
      </c>
      <c r="Y36" s="40">
        <f t="shared" si="7"/>
        <v>29.372727272727271</v>
      </c>
      <c r="Z36" s="43">
        <f t="shared" si="8"/>
        <v>35.9</v>
      </c>
      <c r="AB36" s="83">
        <v>6</v>
      </c>
      <c r="AC36" s="130" t="str">
        <f t="shared" si="12"/>
        <v>ES-31</v>
      </c>
      <c r="AD36" s="31"/>
      <c r="AE36" s="32">
        <f t="shared" si="9"/>
        <v>32.636363636363633</v>
      </c>
      <c r="AF36" s="87"/>
      <c r="AG36" s="87"/>
      <c r="AH36" s="106" cm="1">
        <f t="array" ref="AH36">SUMPRODUCT(TRANSPOSE($AL$6:$AL$12),CHOOSE({1,2,3,4,5,6,7},AG36^6,AG36^5,AG36^4,AG36^3,AG36^2,AG36,1))</f>
        <v>0.47528189999999998</v>
      </c>
      <c r="AI36" s="131"/>
      <c r="AJ36" s="155"/>
      <c r="BC36" s="19"/>
      <c r="BD36" s="19"/>
    </row>
    <row r="37" spans="4:56" ht="15" hidden="1" customHeight="1" thickBot="1" x14ac:dyDescent="0.35">
      <c r="D37" s="11" t="s">
        <v>119</v>
      </c>
      <c r="E37" s="64">
        <v>30</v>
      </c>
      <c r="F37" s="60">
        <v>31</v>
      </c>
      <c r="G37" s="60">
        <v>31</v>
      </c>
      <c r="H37" s="60">
        <v>31</v>
      </c>
      <c r="I37" s="60">
        <v>31</v>
      </c>
      <c r="J37" s="60">
        <v>31</v>
      </c>
      <c r="K37" s="60">
        <v>31</v>
      </c>
      <c r="L37" s="60">
        <v>32</v>
      </c>
      <c r="M37" s="60">
        <v>33</v>
      </c>
      <c r="N37" s="60">
        <v>33</v>
      </c>
      <c r="O37" s="60">
        <v>34</v>
      </c>
      <c r="P37" s="60">
        <v>36</v>
      </c>
      <c r="Q37" s="60">
        <v>37</v>
      </c>
      <c r="R37" s="60">
        <v>39</v>
      </c>
      <c r="S37" s="60">
        <v>41</v>
      </c>
      <c r="T37" s="65">
        <v>48</v>
      </c>
      <c r="U37" s="55">
        <f t="shared" si="3"/>
        <v>34.3125</v>
      </c>
      <c r="V37" s="7">
        <f t="shared" si="4"/>
        <v>30.881250000000001</v>
      </c>
      <c r="W37" s="37">
        <f t="shared" si="5"/>
        <v>37.743750000000006</v>
      </c>
      <c r="X37" s="9">
        <f t="shared" si="11"/>
        <v>32.583333333333336</v>
      </c>
      <c r="Y37" s="40">
        <f t="shared" si="7"/>
        <v>29.325000000000003</v>
      </c>
      <c r="Z37" s="43">
        <f t="shared" si="8"/>
        <v>35.841666666666676</v>
      </c>
      <c r="AB37" s="83">
        <v>6</v>
      </c>
      <c r="AC37" s="130" t="str">
        <f t="shared" si="12"/>
        <v>ES-32</v>
      </c>
      <c r="AD37" s="31"/>
      <c r="AE37" s="32">
        <f t="shared" si="9"/>
        <v>32.583333333333336</v>
      </c>
      <c r="AF37" s="87"/>
      <c r="AG37" s="87"/>
      <c r="AH37" s="106" cm="1">
        <f t="array" ref="AH37">SUMPRODUCT(TRANSPOSE($AL$6:$AL$12),CHOOSE({1,2,3,4,5,6,7},AG37^6,AG37^5,AG37^4,AG37^3,AG37^2,AG37,1))</f>
        <v>0.47528189999999998</v>
      </c>
      <c r="AI37" s="131"/>
      <c r="AJ37" s="155"/>
      <c r="BC37" s="19"/>
      <c r="BD37" s="19"/>
    </row>
    <row r="38" spans="4:56" ht="15" hidden="1" customHeight="1" thickBot="1" x14ac:dyDescent="0.35">
      <c r="D38" s="11" t="s">
        <v>120</v>
      </c>
      <c r="E38" s="64">
        <v>30</v>
      </c>
      <c r="F38" s="60">
        <v>30</v>
      </c>
      <c r="G38" s="60">
        <v>36</v>
      </c>
      <c r="H38" s="60">
        <v>31</v>
      </c>
      <c r="I38" s="60">
        <v>31</v>
      </c>
      <c r="J38" s="60">
        <v>31</v>
      </c>
      <c r="K38" s="60">
        <v>31</v>
      </c>
      <c r="L38" s="60">
        <v>32</v>
      </c>
      <c r="M38" s="60">
        <v>33</v>
      </c>
      <c r="N38" s="60">
        <v>33</v>
      </c>
      <c r="O38" s="60">
        <v>34</v>
      </c>
      <c r="P38" s="60">
        <v>39</v>
      </c>
      <c r="Q38" s="60">
        <v>34</v>
      </c>
      <c r="R38" s="60">
        <v>39</v>
      </c>
      <c r="S38" s="60">
        <v>41</v>
      </c>
      <c r="T38" s="65">
        <v>48</v>
      </c>
      <c r="U38" s="55">
        <f t="shared" si="3"/>
        <v>34.5625</v>
      </c>
      <c r="V38" s="7">
        <f t="shared" si="4"/>
        <v>31.106249999999999</v>
      </c>
      <c r="W38" s="37">
        <f t="shared" si="5"/>
        <v>38.018750000000004</v>
      </c>
      <c r="X38" s="9">
        <f t="shared" si="11"/>
        <v>33.666666666666664</v>
      </c>
      <c r="Y38" s="40">
        <f t="shared" si="7"/>
        <v>30.299999999999997</v>
      </c>
      <c r="Z38" s="43">
        <f t="shared" si="8"/>
        <v>37.033333333333331</v>
      </c>
      <c r="AB38" s="83">
        <v>6</v>
      </c>
      <c r="AC38" s="130" t="str">
        <f t="shared" si="12"/>
        <v>ES-33</v>
      </c>
      <c r="AD38" s="31"/>
      <c r="AE38" s="32">
        <f t="shared" si="9"/>
        <v>33.666666666666664</v>
      </c>
      <c r="AF38" s="87"/>
      <c r="AG38" s="87"/>
      <c r="AH38" s="106" cm="1">
        <f t="array" ref="AH38">SUMPRODUCT(TRANSPOSE($AL$6:$AL$12),CHOOSE({1,2,3,4,5,6,7},AG38^6,AG38^5,AG38^4,AG38^3,AG38^2,AG38,1))</f>
        <v>0.47528189999999998</v>
      </c>
      <c r="AI38" s="131"/>
      <c r="AJ38" s="155"/>
      <c r="BC38" s="19"/>
      <c r="BD38" s="19"/>
    </row>
    <row r="39" spans="4:56" ht="15" hidden="1" customHeight="1" thickBot="1" x14ac:dyDescent="0.35">
      <c r="D39" s="11" t="s">
        <v>121</v>
      </c>
      <c r="E39" s="64">
        <v>20</v>
      </c>
      <c r="F39" s="60">
        <v>21</v>
      </c>
      <c r="G39" s="60">
        <v>22</v>
      </c>
      <c r="H39" s="60">
        <v>31</v>
      </c>
      <c r="I39" s="60">
        <v>31</v>
      </c>
      <c r="J39" s="60">
        <v>31</v>
      </c>
      <c r="K39" s="60">
        <v>31</v>
      </c>
      <c r="L39" s="60">
        <v>32</v>
      </c>
      <c r="M39" s="60">
        <v>33</v>
      </c>
      <c r="N39" s="60">
        <v>33</v>
      </c>
      <c r="O39" s="60">
        <v>36</v>
      </c>
      <c r="P39" s="60">
        <v>38</v>
      </c>
      <c r="Q39" s="60">
        <v>39</v>
      </c>
      <c r="R39" s="60">
        <v>39</v>
      </c>
      <c r="S39" s="60">
        <v>41</v>
      </c>
      <c r="T39" s="65">
        <v>48</v>
      </c>
      <c r="U39" s="55">
        <f t="shared" si="3"/>
        <v>32.875</v>
      </c>
      <c r="V39" s="7">
        <f t="shared" si="4"/>
        <v>29.587500000000002</v>
      </c>
      <c r="W39" s="37">
        <f t="shared" si="5"/>
        <v>36.162500000000001</v>
      </c>
      <c r="X39" s="9">
        <f t="shared" si="11"/>
        <v>32.25</v>
      </c>
      <c r="Y39" s="40">
        <f t="shared" si="7"/>
        <v>29.025000000000002</v>
      </c>
      <c r="Z39" s="43">
        <f t="shared" si="8"/>
        <v>35.475000000000001</v>
      </c>
      <c r="AB39" s="83">
        <v>6</v>
      </c>
      <c r="AC39" s="130" t="str">
        <f t="shared" si="12"/>
        <v>ES-34</v>
      </c>
      <c r="AD39" s="31"/>
      <c r="AE39" s="32">
        <f t="shared" si="9"/>
        <v>32.25</v>
      </c>
      <c r="AF39" s="87"/>
      <c r="AG39" s="87"/>
      <c r="AH39" s="106" cm="1">
        <f t="array" ref="AH39">SUMPRODUCT(TRANSPOSE($AL$6:$AL$12),CHOOSE({1,2,3,4,5,6,7},AG39^6,AG39^5,AG39^4,AG39^3,AG39^2,AG39,1))</f>
        <v>0.47528189999999998</v>
      </c>
      <c r="AI39" s="131"/>
      <c r="AJ39" s="155"/>
      <c r="BC39" s="19"/>
      <c r="BD39" s="19"/>
    </row>
    <row r="40" spans="4:56" ht="15" hidden="1" customHeight="1" thickBot="1" x14ac:dyDescent="0.35">
      <c r="D40" s="11" t="s">
        <v>122</v>
      </c>
      <c r="E40" s="64">
        <v>30</v>
      </c>
      <c r="F40" s="60">
        <v>30</v>
      </c>
      <c r="G40" s="60">
        <v>30</v>
      </c>
      <c r="H40" s="60">
        <v>31</v>
      </c>
      <c r="I40" s="60">
        <v>31</v>
      </c>
      <c r="J40" s="60">
        <v>31</v>
      </c>
      <c r="K40" s="60">
        <v>31</v>
      </c>
      <c r="L40" s="60">
        <v>32</v>
      </c>
      <c r="M40" s="60">
        <v>33</v>
      </c>
      <c r="N40" s="60">
        <v>33</v>
      </c>
      <c r="O40" s="60">
        <v>34</v>
      </c>
      <c r="P40" s="60">
        <v>35</v>
      </c>
      <c r="Q40" s="60">
        <v>37</v>
      </c>
      <c r="R40" s="60">
        <v>39</v>
      </c>
      <c r="S40" s="60">
        <v>41</v>
      </c>
      <c r="T40" s="65">
        <v>48</v>
      </c>
      <c r="U40" s="55">
        <f t="shared" si="3"/>
        <v>34.125</v>
      </c>
      <c r="V40" s="7">
        <f t="shared" si="4"/>
        <v>30.712500000000002</v>
      </c>
      <c r="W40" s="37">
        <f t="shared" si="5"/>
        <v>37.537500000000001</v>
      </c>
      <c r="X40" s="9">
        <f t="shared" si="11"/>
        <v>32.799999999999997</v>
      </c>
      <c r="Y40" s="40">
        <f t="shared" si="7"/>
        <v>29.52</v>
      </c>
      <c r="Z40" s="43">
        <f t="shared" si="8"/>
        <v>36.08</v>
      </c>
      <c r="AB40" s="83">
        <v>6</v>
      </c>
      <c r="AC40" s="130" t="str">
        <f t="shared" si="12"/>
        <v>ES-35</v>
      </c>
      <c r="AD40" s="31"/>
      <c r="AE40" s="32">
        <f t="shared" si="9"/>
        <v>32.799999999999997</v>
      </c>
      <c r="AF40" s="87"/>
      <c r="AG40" s="87"/>
      <c r="AH40" s="106" cm="1">
        <f t="array" ref="AH40">SUMPRODUCT(TRANSPOSE($AL$6:$AL$12),CHOOSE({1,2,3,4,5,6,7},AG40^6,AG40^5,AG40^4,AG40^3,AG40^2,AG40,1))</f>
        <v>0.47528189999999998</v>
      </c>
      <c r="AI40" s="131"/>
      <c r="AJ40" s="155"/>
      <c r="BC40" s="19"/>
      <c r="BD40" s="19"/>
    </row>
    <row r="41" spans="4:56" ht="15" hidden="1" customHeight="1" thickBot="1" x14ac:dyDescent="0.35">
      <c r="D41" s="11" t="s">
        <v>123</v>
      </c>
      <c r="E41" s="64">
        <v>29</v>
      </c>
      <c r="F41" s="60">
        <v>30</v>
      </c>
      <c r="G41" s="60">
        <v>30</v>
      </c>
      <c r="H41" s="60">
        <v>31</v>
      </c>
      <c r="I41" s="60">
        <v>31</v>
      </c>
      <c r="J41" s="60">
        <v>31</v>
      </c>
      <c r="K41" s="60">
        <v>31</v>
      </c>
      <c r="L41" s="60">
        <v>32</v>
      </c>
      <c r="M41" s="60">
        <v>33</v>
      </c>
      <c r="N41" s="60">
        <v>33</v>
      </c>
      <c r="O41" s="60">
        <v>34</v>
      </c>
      <c r="P41" s="60">
        <v>35</v>
      </c>
      <c r="Q41" s="60">
        <v>37</v>
      </c>
      <c r="R41" s="60">
        <v>39</v>
      </c>
      <c r="S41" s="60">
        <v>41</v>
      </c>
      <c r="T41" s="65">
        <v>48</v>
      </c>
      <c r="U41" s="55">
        <f t="shared" si="3"/>
        <v>34.0625</v>
      </c>
      <c r="V41" s="7">
        <f t="shared" si="4"/>
        <v>30.65625</v>
      </c>
      <c r="W41" s="37">
        <f t="shared" si="5"/>
        <v>37.46875</v>
      </c>
      <c r="X41" s="9">
        <f t="shared" si="11"/>
        <v>32.799999999999997</v>
      </c>
      <c r="Y41" s="40">
        <f t="shared" si="7"/>
        <v>29.52</v>
      </c>
      <c r="Z41" s="43">
        <f t="shared" si="8"/>
        <v>36.08</v>
      </c>
      <c r="AB41" s="83">
        <v>6</v>
      </c>
      <c r="AC41" s="130" t="str">
        <f t="shared" si="12"/>
        <v>ES-36</v>
      </c>
      <c r="AD41" s="31"/>
      <c r="AE41" s="32">
        <f t="shared" si="9"/>
        <v>32.799999999999997</v>
      </c>
      <c r="AF41" s="87"/>
      <c r="AG41" s="87"/>
      <c r="AH41" s="106" cm="1">
        <f t="array" ref="AH41">SUMPRODUCT(TRANSPOSE($AL$6:$AL$12),CHOOSE({1,2,3,4,5,6,7},AG41^6,AG41^5,AG41^4,AG41^3,AG41^2,AG41,1))</f>
        <v>0.47528189999999998</v>
      </c>
      <c r="AI41" s="131"/>
      <c r="AJ41" s="155"/>
      <c r="BC41" s="19"/>
      <c r="BD41" s="19"/>
    </row>
    <row r="42" spans="4:56" ht="15" hidden="1" customHeight="1" thickBot="1" x14ac:dyDescent="0.35">
      <c r="D42" s="11" t="s">
        <v>124</v>
      </c>
      <c r="E42" s="64">
        <v>30</v>
      </c>
      <c r="F42" s="60">
        <v>30</v>
      </c>
      <c r="G42" s="60">
        <v>31</v>
      </c>
      <c r="H42" s="60">
        <v>31</v>
      </c>
      <c r="I42" s="60">
        <v>31</v>
      </c>
      <c r="J42" s="60">
        <v>31</v>
      </c>
      <c r="K42" s="60">
        <v>31</v>
      </c>
      <c r="L42" s="60">
        <v>32</v>
      </c>
      <c r="M42" s="60">
        <v>33</v>
      </c>
      <c r="N42" s="60">
        <v>33</v>
      </c>
      <c r="O42" s="60">
        <v>34</v>
      </c>
      <c r="P42" s="60">
        <v>35</v>
      </c>
      <c r="Q42" s="60">
        <v>37</v>
      </c>
      <c r="R42" s="60">
        <v>39</v>
      </c>
      <c r="S42" s="60">
        <v>41</v>
      </c>
      <c r="T42" s="65">
        <v>48</v>
      </c>
      <c r="U42" s="55">
        <f t="shared" si="3"/>
        <v>34.1875</v>
      </c>
      <c r="V42" s="7">
        <f t="shared" si="4"/>
        <v>30.768750000000001</v>
      </c>
      <c r="W42" s="37">
        <f t="shared" si="5"/>
        <v>37.606250000000003</v>
      </c>
      <c r="X42" s="9">
        <f t="shared" si="11"/>
        <v>32.636363636363633</v>
      </c>
      <c r="Y42" s="40">
        <f t="shared" si="7"/>
        <v>29.372727272727271</v>
      </c>
      <c r="Z42" s="43">
        <f t="shared" si="8"/>
        <v>35.9</v>
      </c>
      <c r="AB42" s="83">
        <v>6</v>
      </c>
      <c r="AC42" s="130" t="str">
        <f t="shared" si="12"/>
        <v>ES-37</v>
      </c>
      <c r="AD42" s="31"/>
      <c r="AE42" s="32">
        <f t="shared" si="9"/>
        <v>32.636363636363633</v>
      </c>
      <c r="AF42" s="87"/>
      <c r="AG42" s="87"/>
      <c r="AH42" s="106" cm="1">
        <f t="array" ref="AH42">SUMPRODUCT(TRANSPOSE($AL$6:$AL$12),CHOOSE({1,2,3,4,5,6,7},AG42^6,AG42^5,AG42^4,AG42^3,AG42^2,AG42,1))</f>
        <v>0.47528189999999998</v>
      </c>
      <c r="AI42" s="131"/>
      <c r="AJ42" s="155"/>
      <c r="BC42" s="19"/>
      <c r="BD42" s="19"/>
    </row>
    <row r="43" spans="4:56" ht="15" hidden="1" customHeight="1" thickBot="1" x14ac:dyDescent="0.35">
      <c r="D43" s="12" t="s">
        <v>125</v>
      </c>
      <c r="E43" s="66">
        <v>37</v>
      </c>
      <c r="F43" s="67">
        <v>37</v>
      </c>
      <c r="G43" s="67">
        <v>38</v>
      </c>
      <c r="H43" s="67">
        <v>41</v>
      </c>
      <c r="I43" s="67">
        <v>42</v>
      </c>
      <c r="J43" s="67">
        <v>42</v>
      </c>
      <c r="K43" s="67">
        <v>42</v>
      </c>
      <c r="L43" s="67">
        <v>42</v>
      </c>
      <c r="M43" s="67">
        <v>42</v>
      </c>
      <c r="N43" s="67">
        <v>43</v>
      </c>
      <c r="O43" s="67">
        <v>43</v>
      </c>
      <c r="P43" s="67">
        <v>43</v>
      </c>
      <c r="Q43" s="67">
        <v>43</v>
      </c>
      <c r="R43" s="67">
        <v>43</v>
      </c>
      <c r="S43" s="67">
        <v>46</v>
      </c>
      <c r="T43" s="68">
        <v>48</v>
      </c>
      <c r="U43" s="56">
        <f t="shared" si="3"/>
        <v>42</v>
      </c>
      <c r="V43" s="8">
        <f t="shared" si="4"/>
        <v>37.800000000000004</v>
      </c>
      <c r="W43" s="38">
        <f t="shared" si="5"/>
        <v>46.2</v>
      </c>
      <c r="X43" s="10">
        <f t="shared" si="11"/>
        <v>42.307692307692307</v>
      </c>
      <c r="Y43" s="41">
        <f t="shared" si="7"/>
        <v>38.07692307692308</v>
      </c>
      <c r="Z43" s="44">
        <f t="shared" si="8"/>
        <v>46.53846153846154</v>
      </c>
      <c r="AB43" s="83">
        <v>6</v>
      </c>
      <c r="AC43" s="132" t="str">
        <f t="shared" si="12"/>
        <v>ES-38</v>
      </c>
      <c r="AD43" s="133"/>
      <c r="AE43" s="123">
        <f t="shared" si="9"/>
        <v>42.307692307692307</v>
      </c>
      <c r="AF43" s="124"/>
      <c r="AG43" s="124"/>
      <c r="AH43" s="125" cm="1">
        <f t="array" ref="AH43">SUMPRODUCT(TRANSPOSE($AL$6:$AL$12),CHOOSE({1,2,3,4,5,6,7},AG43^6,AG43^5,AG43^4,AG43^3,AG43^2,AG43,1))</f>
        <v>0.47528189999999998</v>
      </c>
      <c r="AI43" s="131"/>
      <c r="AJ43" s="155"/>
      <c r="BC43" s="19"/>
      <c r="BD43" s="19"/>
    </row>
    <row r="44" spans="4:56" ht="14.4" customHeight="1" thickBot="1" x14ac:dyDescent="0.35"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AB44" s="35"/>
      <c r="AC44" s="258" t="s">
        <v>167</v>
      </c>
      <c r="AD44" s="259"/>
      <c r="AE44" s="135">
        <f t="shared" ref="AE44:AJ44" si="13">AVERAGE(AE6:AE27)</f>
        <v>34.332315601065609</v>
      </c>
      <c r="AF44" s="135">
        <f t="shared" si="13"/>
        <v>33.617934493087482</v>
      </c>
      <c r="AG44" s="135">
        <f t="shared" si="13"/>
        <v>25.638425076234647</v>
      </c>
      <c r="AH44" s="136">
        <f t="shared" si="13"/>
        <v>0.68100000000000049</v>
      </c>
      <c r="AI44" s="137">
        <f t="shared" si="13"/>
        <v>17.45976747691579</v>
      </c>
      <c r="AJ44" s="156">
        <f t="shared" si="13"/>
        <v>23.342332299521306</v>
      </c>
      <c r="BC44" s="19">
        <v>10</v>
      </c>
      <c r="BD44" s="19" cm="1">
        <f t="array" ref="BD44">SUMPRODUCT(TRANSPOSE($AL$6:$AL$12),CHOOSE({1,2,3,4,5,6,7},BC44^6,BC44^5,BC44^4,BC44^3,BC44^2,BC44,1))</f>
        <v>0.69264207110000009</v>
      </c>
    </row>
    <row r="45" spans="4:56" ht="14.4" customHeight="1" x14ac:dyDescent="0.3">
      <c r="D45" s="33"/>
      <c r="E45" s="49"/>
      <c r="F45" s="50" t="s">
        <v>128</v>
      </c>
      <c r="G45" s="51"/>
      <c r="H45" s="51"/>
      <c r="I45" s="52"/>
      <c r="J45" s="52"/>
      <c r="K45" s="53"/>
      <c r="L45" s="34"/>
      <c r="M45" s="34"/>
      <c r="N45" s="34"/>
      <c r="O45" s="34"/>
      <c r="P45" s="34"/>
      <c r="Q45" s="34"/>
      <c r="R45" s="34"/>
      <c r="S45" s="34"/>
      <c r="T45" s="34"/>
      <c r="AB45" s="35"/>
      <c r="AC45" s="260" t="s">
        <v>168</v>
      </c>
      <c r="AD45" s="261"/>
      <c r="AE45" s="126">
        <f>MEDIAN(AE6:AE27)</f>
        <v>33.589285714285715</v>
      </c>
      <c r="AF45" s="126">
        <f t="shared" ref="AF45:AJ45" si="14">MEDIAN(AF6:AF27)</f>
        <v>32.89036544850498</v>
      </c>
      <c r="AG45" s="126">
        <f t="shared" si="14"/>
        <v>24.868147729975281</v>
      </c>
      <c r="AH45" s="134">
        <f t="shared" si="14"/>
        <v>0.68100000000000005</v>
      </c>
      <c r="AI45" s="138">
        <f t="shared" si="14"/>
        <v>16.935208604113168</v>
      </c>
      <c r="AJ45" s="157">
        <f t="shared" si="14"/>
        <v>23.044385911003644</v>
      </c>
      <c r="BC45" s="19">
        <v>15</v>
      </c>
      <c r="BD45" s="19" cm="1">
        <f t="array" ref="BD45">SUMPRODUCT(TRANSPOSE($AL$6:$AL$12),CHOOSE({1,2,3,4,5,6,7},BC45^6,BC45^5,BC45^4,BC45^3,BC45^2,BC45,1))</f>
        <v>0.67980646412343759</v>
      </c>
    </row>
    <row r="46" spans="4:56" ht="14.4" customHeight="1" x14ac:dyDescent="0.3">
      <c r="E46" s="46"/>
      <c r="F46" s="20" t="s">
        <v>7</v>
      </c>
      <c r="G46" s="18"/>
      <c r="H46" s="18"/>
      <c r="I46" s="19"/>
      <c r="J46" s="19"/>
      <c r="K46" s="21"/>
      <c r="AC46" s="260" t="s">
        <v>169</v>
      </c>
      <c r="AD46" s="261"/>
      <c r="AE46" s="126">
        <f>_xlfn.STDEV.S(AE6:AE27)</f>
        <v>3.1767550066302315</v>
      </c>
      <c r="AF46" s="126">
        <f t="shared" ref="AF46:AJ46" si="15">_xlfn.STDEV.S(AF6:AF27)</f>
        <v>3.1106536172633841</v>
      </c>
      <c r="AG46" s="126">
        <f t="shared" si="15"/>
        <v>3.7472323095773898</v>
      </c>
      <c r="AH46" s="134">
        <f t="shared" si="15"/>
        <v>4.5453979755119798E-16</v>
      </c>
      <c r="AI46" s="138">
        <f t="shared" si="15"/>
        <v>2.5518652028222433</v>
      </c>
      <c r="AJ46" s="157">
        <f t="shared" si="15"/>
        <v>1.673665490923657</v>
      </c>
      <c r="BC46" s="19">
        <v>20</v>
      </c>
      <c r="BD46" s="19" cm="1">
        <f t="array" ref="BD46">SUMPRODUCT(TRANSPOSE($AL$6:$AL$12),CHOOSE({1,2,3,4,5,6,7},BC46^6,BC46^5,BC46^4,BC46^3,BC46^2,BC46,1))</f>
        <v>0.65041897840000029</v>
      </c>
    </row>
    <row r="47" spans="4:56" ht="14.4" customHeight="1" thickBot="1" x14ac:dyDescent="0.35">
      <c r="E47" s="45"/>
      <c r="F47" s="20" t="s">
        <v>8</v>
      </c>
      <c r="G47" s="18"/>
      <c r="H47" s="18"/>
      <c r="I47" s="19"/>
      <c r="J47" s="19"/>
      <c r="K47" s="21"/>
      <c r="AC47" s="266" t="s">
        <v>170</v>
      </c>
      <c r="AD47" s="267"/>
      <c r="AE47" s="139">
        <f>AE46/AE44</f>
        <v>9.2529587678951405E-2</v>
      </c>
      <c r="AF47" s="139">
        <f t="shared" ref="AF47:AJ47" si="16">AF46/AF44</f>
        <v>9.2529587678951433E-2</v>
      </c>
      <c r="AG47" s="139">
        <f t="shared" si="16"/>
        <v>0.14615688360089091</v>
      </c>
      <c r="AH47" s="139">
        <f t="shared" si="16"/>
        <v>6.6745932092686879E-16</v>
      </c>
      <c r="AI47" s="140">
        <f t="shared" si="16"/>
        <v>0.14615688360089329</v>
      </c>
      <c r="AJ47" s="158">
        <f t="shared" si="16"/>
        <v>7.1700868167230217E-2</v>
      </c>
      <c r="BC47" s="19">
        <v>25</v>
      </c>
      <c r="BD47" s="19" cm="1">
        <f t="array" ref="BD47">SUMPRODUCT(TRANSPOSE($AL$6:$AL$12),CHOOSE({1,2,3,4,5,6,7},BC47^6,BC47^5,BC47^4,BC47^3,BC47^2,BC47,1))</f>
        <v>0.62440177402343777</v>
      </c>
    </row>
    <row r="48" spans="4:56" ht="14.4" customHeight="1" thickBot="1" x14ac:dyDescent="0.35">
      <c r="E48" s="47"/>
      <c r="F48" s="22" t="s">
        <v>9</v>
      </c>
      <c r="G48" s="23"/>
      <c r="H48" s="23"/>
      <c r="I48" s="24"/>
      <c r="J48" s="24"/>
      <c r="K48" s="25"/>
      <c r="BC48" s="19">
        <v>30</v>
      </c>
      <c r="BD48" s="19" cm="1">
        <f t="array" ref="BD48">SUMPRODUCT(TRANSPOSE($AL$6:$AL$12),CHOOSE({1,2,3,4,5,6,7},BC48^6,BC48^5,BC48^4,BC48^3,BC48^2,BC48,1))</f>
        <v>0.60828787590000077</v>
      </c>
    </row>
    <row r="49" spans="28:56" ht="14.4" customHeight="1" x14ac:dyDescent="0.3">
      <c r="AB49" s="27"/>
      <c r="BC49" s="19">
        <v>35</v>
      </c>
      <c r="BD49" s="19" cm="1">
        <f t="array" ref="BD49">SUMPRODUCT(TRANSPOSE($AL$6:$AL$12),CHOOSE({1,2,3,4,5,6,7},BC49^6,BC49^5,BC49^4,BC49^3,BC49^2,BC49,1))</f>
        <v>0.601248398185938</v>
      </c>
    </row>
    <row r="50" spans="28:56" ht="33.6" customHeight="1" x14ac:dyDescent="0.3">
      <c r="AC50" s="100" t="s">
        <v>112</v>
      </c>
      <c r="AD50" s="100"/>
      <c r="AE50" s="100" t="s">
        <v>153</v>
      </c>
      <c r="AF50" s="99" t="s">
        <v>113</v>
      </c>
      <c r="BC50" s="19">
        <v>40</v>
      </c>
      <c r="BD50" s="19" cm="1">
        <f t="array" ref="BD50">SUMPRODUCT(TRANSPOSE($AL$6:$AL$12),CHOOSE({1,2,3,4,5,6,7},BC50^6,BC50^5,BC50^4,BC50^3,BC50^2,BC50,1))</f>
        <v>0.59960861360000073</v>
      </c>
    </row>
    <row r="51" spans="28:56" x14ac:dyDescent="0.3">
      <c r="AC51" s="95">
        <v>23</v>
      </c>
      <c r="AD51" s="95"/>
      <c r="AE51" s="95">
        <v>28</v>
      </c>
      <c r="AF51" s="98">
        <v>0.67</v>
      </c>
      <c r="BC51" s="19">
        <v>45</v>
      </c>
      <c r="BD51" s="19" cm="1">
        <f t="array" ref="BD51">SUMPRODUCT(TRANSPOSE($AL$6:$AL$12),CHOOSE({1,2,3,4,5,6,7},BC51^6,BC51^5,BC51^4,BC51^3,BC51^2,BC51,1))</f>
        <v>0.59985286761093959</v>
      </c>
    </row>
    <row r="52" spans="28:56" x14ac:dyDescent="0.3">
      <c r="AC52" s="95">
        <v>28</v>
      </c>
      <c r="AD52" s="95"/>
      <c r="AE52" s="95">
        <v>34</v>
      </c>
      <c r="AF52" s="98">
        <v>0.63</v>
      </c>
      <c r="BC52" s="19">
        <v>50</v>
      </c>
      <c r="BD52" s="19" cm="1">
        <f t="array" ref="BD52">SUMPRODUCT(TRANSPOSE($AL$6:$AL$12),CHOOSE({1,2,3,4,5,6,7},BC52^6,BC52^5,BC52^4,BC52^3,BC52^2,BC52,1))</f>
        <v>0.60011833750000299</v>
      </c>
    </row>
    <row r="53" spans="28:56" x14ac:dyDescent="0.3">
      <c r="AC53" s="95">
        <v>34</v>
      </c>
      <c r="AD53" s="95"/>
      <c r="AE53" s="95">
        <v>50</v>
      </c>
      <c r="AF53" s="98">
        <v>0.6</v>
      </c>
      <c r="BC53" s="19">
        <v>55</v>
      </c>
      <c r="BD53" s="19" cm="1">
        <f t="array" ref="BD53">SUMPRODUCT(TRANSPOSE($AL$6:$AL$12),CHOOSE({1,2,3,4,5,6,7},BC53^6,BC53^5,BC53^4,BC53^3,BC53^2,BC53,1))</f>
        <v>0.60017763629843635</v>
      </c>
    </row>
    <row r="54" spans="28:56" x14ac:dyDescent="0.3">
      <c r="BC54" s="19">
        <v>60</v>
      </c>
      <c r="BD54" s="19" cm="1">
        <f t="array" ref="BD54">SUMPRODUCT(TRANSPOSE($AL$6:$AL$12),CHOOSE({1,2,3,4,5,6,7},BC54^6,BC54^5,BC54^4,BC54^3,BC54^2,BC54,1))</f>
        <v>0.59991026160000316</v>
      </c>
    </row>
  </sheetData>
  <mergeCells count="22">
    <mergeCell ref="D4:D5"/>
    <mergeCell ref="E4:T4"/>
    <mergeCell ref="U4:W4"/>
    <mergeCell ref="X4:Z4"/>
    <mergeCell ref="AB4:AB5"/>
    <mergeCell ref="AP18:AP19"/>
    <mergeCell ref="AQ18:AQ19"/>
    <mergeCell ref="BC27:BC28"/>
    <mergeCell ref="BD27:BD28"/>
    <mergeCell ref="AO29:AO31"/>
    <mergeCell ref="AC44:AD44"/>
    <mergeCell ref="AC45:AD45"/>
    <mergeCell ref="AC46:AD46"/>
    <mergeCell ref="AC47:AD47"/>
    <mergeCell ref="AJ4:AJ5"/>
    <mergeCell ref="AD4:AD5"/>
    <mergeCell ref="AE4:AE5"/>
    <mergeCell ref="AF4:AF5"/>
    <mergeCell ref="AG4:AG5"/>
    <mergeCell ref="AH4:AH5"/>
    <mergeCell ref="AI4:AI5"/>
    <mergeCell ref="AC4:AC5"/>
  </mergeCells>
  <conditionalFormatting sqref="D44:F44 L45:T45">
    <cfRule type="cellIs" dxfId="7" priority="14" operator="greaterThan">
      <formula>$W44</formula>
    </cfRule>
  </conditionalFormatting>
  <conditionalFormatting sqref="E6:T43">
    <cfRule type="cellIs" dxfId="6" priority="10" operator="lessThan">
      <formula>$V6</formula>
    </cfRule>
    <cfRule type="cellIs" dxfId="5" priority="12" operator="lessThan">
      <formula>$Y6</formula>
    </cfRule>
    <cfRule type="cellIs" dxfId="4" priority="13" operator="greaterThan">
      <formula>$Z6</formula>
    </cfRule>
  </conditionalFormatting>
  <conditionalFormatting sqref="E6:T44">
    <cfRule type="cellIs" dxfId="3" priority="11" operator="greaterThan">
      <formula>$W6</formula>
    </cfRule>
  </conditionalFormatting>
  <conditionalFormatting sqref="E28:T44 D44 L45:T45">
    <cfRule type="cellIs" dxfId="2" priority="15" operator="lessThan">
      <formula>$V28</formula>
    </cfRule>
    <cfRule type="cellIs" dxfId="1" priority="16" operator="lessThan">
      <formula>$Y28</formula>
    </cfRule>
    <cfRule type="cellIs" dxfId="0" priority="17" operator="greaterThan">
      <formula>$Z28</formula>
    </cfRule>
  </conditionalFormatting>
  <conditionalFormatting sqref="AE6:AF2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6:AF2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G27 AI6:AJ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G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H6 AG7:AG27 AH7:AH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H6 AG7:AG27 AI6:AJ27 AH7:AH4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6:AH2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6:AI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:AJ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:AJ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4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8C0EB7-FDDC-479A-BA58-01AE3CC3F90B}">
          <x14:formula1>
            <xm:f>Curvas!$A$3:$A$5</xm:f>
          </x14:formula1>
          <xm:sqref>AD6:AD27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26AE-F0DF-4503-9E91-CAA7F7EC6C3D}">
  <dimension ref="B1:W37"/>
  <sheetViews>
    <sheetView workbookViewId="0">
      <selection activeCell="G4" sqref="G4:H10"/>
    </sheetView>
  </sheetViews>
  <sheetFormatPr defaultRowHeight="14.4" x14ac:dyDescent="0.3"/>
  <cols>
    <col min="2" max="2" width="12.44140625" bestFit="1" customWidth="1"/>
    <col min="3" max="3" width="11" bestFit="1" customWidth="1"/>
    <col min="4" max="4" width="10.6640625" bestFit="1" customWidth="1"/>
    <col min="5" max="5" width="8.88671875" bestFit="1" customWidth="1"/>
    <col min="7" max="7" width="28.5546875" bestFit="1" customWidth="1"/>
    <col min="8" max="8" width="12.44140625" bestFit="1" customWidth="1"/>
    <col min="9" max="9" width="13.6640625" bestFit="1" customWidth="1"/>
    <col min="10" max="10" width="14.88671875" bestFit="1" customWidth="1"/>
  </cols>
  <sheetData>
    <row r="1" spans="2:23" ht="15" thickBot="1" x14ac:dyDescent="0.35"/>
    <row r="2" spans="2:23" ht="66.599999999999994" thickBot="1" x14ac:dyDescent="0.35">
      <c r="B2" s="278" t="s">
        <v>188</v>
      </c>
      <c r="C2" s="278" t="s">
        <v>189</v>
      </c>
      <c r="D2" s="278" t="s">
        <v>190</v>
      </c>
      <c r="E2" s="171" t="s">
        <v>191</v>
      </c>
      <c r="O2" s="207" t="s">
        <v>244</v>
      </c>
      <c r="P2" s="208">
        <v>16</v>
      </c>
      <c r="Q2" s="208" t="s">
        <v>245</v>
      </c>
      <c r="R2" s="209">
        <f>P2/2</f>
        <v>8</v>
      </c>
      <c r="T2" s="207" t="s">
        <v>244</v>
      </c>
      <c r="U2" s="208">
        <v>6</v>
      </c>
      <c r="V2" s="208" t="s">
        <v>245</v>
      </c>
      <c r="W2" s="209">
        <f>U2/2</f>
        <v>3</v>
      </c>
    </row>
    <row r="3" spans="2:23" ht="29.4" thickBot="1" x14ac:dyDescent="0.35">
      <c r="B3" s="279"/>
      <c r="C3" s="279"/>
      <c r="D3" s="279"/>
      <c r="E3" s="172" t="s">
        <v>192</v>
      </c>
      <c r="G3" s="186" t="s">
        <v>231</v>
      </c>
      <c r="H3" s="187" t="s">
        <v>192</v>
      </c>
      <c r="I3" s="188" t="s">
        <v>242</v>
      </c>
      <c r="O3" s="275" t="s">
        <v>247</v>
      </c>
      <c r="P3" s="276"/>
      <c r="Q3" s="276"/>
      <c r="R3" s="210"/>
      <c r="T3" s="275" t="s">
        <v>231</v>
      </c>
      <c r="U3" s="276"/>
      <c r="V3" s="276"/>
      <c r="W3" s="277"/>
    </row>
    <row r="4" spans="2:23" ht="27" thickBot="1" x14ac:dyDescent="0.35">
      <c r="B4" s="173" t="s">
        <v>193</v>
      </c>
      <c r="C4" s="176">
        <f>'TABELA_ESCLEROMETRIA Rev'!AG6</f>
        <v>34.444444444444443</v>
      </c>
      <c r="D4" s="174">
        <v>3.17</v>
      </c>
      <c r="E4" s="174">
        <v>11.79</v>
      </c>
      <c r="G4" s="189" t="s">
        <v>234</v>
      </c>
      <c r="H4" s="185">
        <v>7.9</v>
      </c>
      <c r="I4" s="190" t="s">
        <v>236</v>
      </c>
      <c r="O4" s="194">
        <f t="shared" ref="O4:O13" si="0">E4</f>
        <v>11.79</v>
      </c>
      <c r="P4" s="195"/>
      <c r="Q4" s="195">
        <v>7.9</v>
      </c>
      <c r="R4" s="196"/>
      <c r="T4" s="202">
        <v>7.9</v>
      </c>
      <c r="W4" s="196"/>
    </row>
    <row r="5" spans="2:23" ht="27" thickBot="1" x14ac:dyDescent="0.35">
      <c r="B5" s="173" t="s">
        <v>194</v>
      </c>
      <c r="C5" s="176">
        <f>'TABELA_ESCLEROMETRIA Rev'!AG7</f>
        <v>30.392156862745097</v>
      </c>
      <c r="D5" s="174">
        <v>3.3330000000000002</v>
      </c>
      <c r="E5" s="174">
        <v>11.69</v>
      </c>
      <c r="G5" s="189" t="s">
        <v>234</v>
      </c>
      <c r="H5" s="177">
        <v>11.24</v>
      </c>
      <c r="I5" s="190" t="s">
        <v>240</v>
      </c>
      <c r="O5" s="194">
        <f t="shared" si="0"/>
        <v>11.69</v>
      </c>
      <c r="P5" s="195"/>
      <c r="Q5" s="195">
        <v>8.35</v>
      </c>
      <c r="R5" s="196"/>
      <c r="T5" s="189">
        <v>11.24</v>
      </c>
      <c r="W5" s="196"/>
    </row>
    <row r="6" spans="2:23" ht="27" thickBot="1" x14ac:dyDescent="0.35">
      <c r="B6" s="173" t="s">
        <v>195</v>
      </c>
      <c r="C6" s="176">
        <f>'TABELA_ESCLEROMETRIA Rev'!AG8</f>
        <v>31.372549019607842</v>
      </c>
      <c r="D6" s="174">
        <v>3.472</v>
      </c>
      <c r="E6" s="174">
        <v>16.649999999999999</v>
      </c>
      <c r="G6" s="189" t="s">
        <v>232</v>
      </c>
      <c r="H6" s="177">
        <v>13.8</v>
      </c>
      <c r="I6" s="190" t="s">
        <v>235</v>
      </c>
      <c r="O6" s="194">
        <f t="shared" si="0"/>
        <v>16.649999999999999</v>
      </c>
      <c r="P6" s="195"/>
      <c r="Q6" s="195">
        <v>11.24</v>
      </c>
      <c r="R6" s="196"/>
      <c r="T6" s="189">
        <v>13.8</v>
      </c>
      <c r="W6" s="196"/>
    </row>
    <row r="7" spans="2:23" ht="15" thickBot="1" x14ac:dyDescent="0.35">
      <c r="B7" s="173" t="s">
        <v>196</v>
      </c>
      <c r="C7" s="176">
        <f>'TABELA_ESCLEROMETRIA Rev'!AE12</f>
        <v>38.07692307692308</v>
      </c>
      <c r="D7" s="174">
        <v>3.3439999999999999</v>
      </c>
      <c r="E7" s="174">
        <v>18.600000000000001</v>
      </c>
      <c r="G7" s="189" t="s">
        <v>232</v>
      </c>
      <c r="H7" s="177">
        <v>16.5</v>
      </c>
      <c r="I7" s="190" t="s">
        <v>237</v>
      </c>
      <c r="O7" s="194">
        <f t="shared" si="0"/>
        <v>18.600000000000001</v>
      </c>
      <c r="P7" s="195"/>
      <c r="Q7" s="195">
        <v>11.69</v>
      </c>
      <c r="R7" s="196"/>
      <c r="T7" s="189">
        <v>16.5</v>
      </c>
      <c r="W7" s="196"/>
    </row>
    <row r="8" spans="2:23" ht="15" thickBot="1" x14ac:dyDescent="0.35">
      <c r="B8" s="173" t="s">
        <v>197</v>
      </c>
      <c r="C8" s="176">
        <f>'TABELA_ESCLEROMETRIA Rev'!AE13</f>
        <v>32</v>
      </c>
      <c r="D8" s="174">
        <v>2.3450000000000002</v>
      </c>
      <c r="E8" s="174">
        <v>8.35</v>
      </c>
      <c r="G8" s="189" t="s">
        <v>233</v>
      </c>
      <c r="H8" s="177">
        <v>19.100000000000001</v>
      </c>
      <c r="I8" s="190" t="s">
        <v>236</v>
      </c>
      <c r="O8" s="194">
        <f t="shared" si="0"/>
        <v>8.35</v>
      </c>
      <c r="P8" s="195"/>
      <c r="Q8" s="195">
        <v>11.79</v>
      </c>
      <c r="R8" s="196"/>
      <c r="T8" s="189">
        <v>17.3</v>
      </c>
      <c r="W8" s="196"/>
    </row>
    <row r="9" spans="2:23" ht="27" thickBot="1" x14ac:dyDescent="0.35">
      <c r="B9" s="173" t="s">
        <v>198</v>
      </c>
      <c r="C9" s="176">
        <f>'TABELA_ESCLEROMETRIA Rev'!AG17</f>
        <v>30.882352941176471</v>
      </c>
      <c r="D9" s="174">
        <v>3.2730000000000001</v>
      </c>
      <c r="E9" s="174">
        <v>12.55</v>
      </c>
      <c r="G9" s="189" t="s">
        <v>233</v>
      </c>
      <c r="H9" s="177">
        <v>17.3</v>
      </c>
      <c r="I9" s="190" t="s">
        <v>235</v>
      </c>
      <c r="O9" s="194">
        <f t="shared" si="0"/>
        <v>12.55</v>
      </c>
      <c r="P9" s="195"/>
      <c r="Q9" s="195">
        <v>12.55</v>
      </c>
      <c r="R9" s="196"/>
      <c r="T9" s="211">
        <v>17.5</v>
      </c>
      <c r="W9" s="196"/>
    </row>
    <row r="10" spans="2:23" ht="27" thickBot="1" x14ac:dyDescent="0.35">
      <c r="B10" s="173" t="s">
        <v>228</v>
      </c>
      <c r="C10" s="176">
        <f>'TABELA_ESCLEROMETRIA Rev'!AG19</f>
        <v>32.352941176470587</v>
      </c>
      <c r="D10" s="184">
        <v>2.67</v>
      </c>
      <c r="E10" s="174">
        <v>13.35</v>
      </c>
      <c r="G10" s="189" t="s">
        <v>233</v>
      </c>
      <c r="H10" s="177">
        <v>17.5</v>
      </c>
      <c r="I10" s="190" t="s">
        <v>238</v>
      </c>
      <c r="O10" s="194">
        <f t="shared" si="0"/>
        <v>13.35</v>
      </c>
      <c r="P10" s="195"/>
      <c r="Q10" s="195">
        <v>13.35</v>
      </c>
      <c r="R10" s="196"/>
      <c r="T10" s="203">
        <v>19.100000000000001</v>
      </c>
      <c r="U10" t="s">
        <v>246</v>
      </c>
      <c r="W10" s="196"/>
    </row>
    <row r="11" spans="2:23" ht="15" thickBot="1" x14ac:dyDescent="0.35">
      <c r="B11" s="173" t="s">
        <v>199</v>
      </c>
      <c r="C11" s="176">
        <f>'TABELA_ESCLEROMETRIA Rev'!AG23</f>
        <v>33.333333333333329</v>
      </c>
      <c r="D11" s="174">
        <v>3.367</v>
      </c>
      <c r="E11" s="174">
        <v>17.88</v>
      </c>
      <c r="G11" s="189" t="s">
        <v>239</v>
      </c>
      <c r="H11" s="177">
        <v>17.329999999999998</v>
      </c>
      <c r="I11" s="190" t="s">
        <v>240</v>
      </c>
      <c r="O11" s="194">
        <f t="shared" si="0"/>
        <v>17.88</v>
      </c>
      <c r="P11" s="195"/>
      <c r="Q11" s="195">
        <v>13.8</v>
      </c>
      <c r="R11" s="196"/>
      <c r="T11" s="204"/>
      <c r="W11" s="196"/>
    </row>
    <row r="12" spans="2:23" ht="27" thickBot="1" x14ac:dyDescent="0.35">
      <c r="B12" s="173" t="s">
        <v>200</v>
      </c>
      <c r="C12" s="176">
        <f>'TABELA_ESCLEROMETRIA Rev'!AG28</f>
        <v>41.755551669872354</v>
      </c>
      <c r="D12" s="174">
        <v>3.766</v>
      </c>
      <c r="E12" s="174">
        <v>31.37</v>
      </c>
      <c r="G12" s="191" t="s">
        <v>239</v>
      </c>
      <c r="H12" s="192">
        <v>10.74</v>
      </c>
      <c r="I12" s="193" t="s">
        <v>241</v>
      </c>
      <c r="O12" s="194">
        <f t="shared" si="0"/>
        <v>31.37</v>
      </c>
      <c r="P12" s="195"/>
      <c r="Q12" s="195">
        <v>16.5</v>
      </c>
      <c r="R12" s="196"/>
      <c r="T12" s="205" t="s">
        <v>243</v>
      </c>
      <c r="U12" s="206">
        <f>2*SUM(T4:T5)/(W2-1)-T6</f>
        <v>5.34</v>
      </c>
      <c r="V12" s="206" t="s">
        <v>248</v>
      </c>
      <c r="W12" s="201"/>
    </row>
    <row r="13" spans="2:23" ht="27" thickBot="1" x14ac:dyDescent="0.35">
      <c r="B13" s="173" t="s">
        <v>201</v>
      </c>
      <c r="C13" s="176">
        <f>'TABELA_ESCLEROMETRIA Rev'!AG32</f>
        <v>41.860465116279066</v>
      </c>
      <c r="D13" s="174">
        <v>3.8759999999999999</v>
      </c>
      <c r="E13" s="174">
        <v>30.31</v>
      </c>
      <c r="O13" s="194">
        <f t="shared" si="0"/>
        <v>30.31</v>
      </c>
      <c r="P13" s="195"/>
      <c r="Q13" s="195">
        <v>16.649999999999999</v>
      </c>
      <c r="R13" s="196"/>
    </row>
    <row r="14" spans="2:23" ht="15" thickBot="1" x14ac:dyDescent="0.35">
      <c r="B14" s="175" t="s">
        <v>202</v>
      </c>
      <c r="C14" s="176">
        <f>AVERAGE(C4:C13)</f>
        <v>34.647071764085226</v>
      </c>
      <c r="D14" s="184">
        <f>AVERAGE(D4:D13)</f>
        <v>3.2616000000000001</v>
      </c>
      <c r="E14" s="172">
        <v>17.25</v>
      </c>
      <c r="O14" s="194">
        <f t="shared" ref="O14:O20" si="1">H4</f>
        <v>7.9</v>
      </c>
      <c r="P14" s="195"/>
      <c r="Q14" s="195">
        <v>17.3</v>
      </c>
      <c r="R14" s="196"/>
    </row>
    <row r="15" spans="2:23" x14ac:dyDescent="0.3">
      <c r="O15" s="194">
        <f t="shared" si="1"/>
        <v>11.24</v>
      </c>
      <c r="P15" s="195"/>
      <c r="Q15" s="195">
        <v>17.5</v>
      </c>
      <c r="R15" s="196"/>
    </row>
    <row r="16" spans="2:23" x14ac:dyDescent="0.3">
      <c r="O16" s="194">
        <f t="shared" si="1"/>
        <v>13.8</v>
      </c>
      <c r="P16" s="195"/>
      <c r="Q16" s="195">
        <v>17.88</v>
      </c>
      <c r="R16" s="196"/>
    </row>
    <row r="17" spans="7:18" ht="72" x14ac:dyDescent="0.3">
      <c r="G17" s="177" t="s">
        <v>203</v>
      </c>
      <c r="H17" s="177" t="s">
        <v>204</v>
      </c>
      <c r="I17" s="178" t="s">
        <v>205</v>
      </c>
      <c r="J17" s="178" t="s">
        <v>206</v>
      </c>
      <c r="O17" s="194">
        <f t="shared" si="1"/>
        <v>16.5</v>
      </c>
      <c r="P17" s="195"/>
      <c r="Q17" s="195">
        <v>18.600000000000001</v>
      </c>
      <c r="R17" s="196"/>
    </row>
    <row r="18" spans="7:18" x14ac:dyDescent="0.3">
      <c r="G18" s="179" t="s">
        <v>207</v>
      </c>
      <c r="H18" s="180">
        <f>'TABELA_ESCLEROMETRIA Rev'!AG9</f>
        <v>36.349924585218702</v>
      </c>
      <c r="I18" s="180">
        <f>'TABELA_ESCLEROMETRIA Rev'!AJ9</f>
        <v>18.07297589008736</v>
      </c>
      <c r="J18" s="19"/>
      <c r="O18" s="194">
        <f t="shared" si="1"/>
        <v>19.100000000000001</v>
      </c>
      <c r="P18" s="195"/>
      <c r="Q18" s="195">
        <v>19.100000000000001</v>
      </c>
      <c r="R18" s="196"/>
    </row>
    <row r="19" spans="7:18" x14ac:dyDescent="0.3">
      <c r="G19" s="179" t="s">
        <v>208</v>
      </c>
      <c r="H19" s="180">
        <f>'TABELA_ESCLEROMETRIA Rev'!AG10</f>
        <v>35.671191553544496</v>
      </c>
      <c r="I19" s="180">
        <f>'TABELA_ESCLEROMETRIA Rev'!AJ10</f>
        <v>17.560485212246796</v>
      </c>
      <c r="J19" s="19"/>
      <c r="O19" s="194">
        <f t="shared" si="1"/>
        <v>17.3</v>
      </c>
      <c r="P19" s="195"/>
      <c r="Q19" s="195">
        <v>30.31</v>
      </c>
      <c r="R19" s="196"/>
    </row>
    <row r="20" spans="7:18" x14ac:dyDescent="0.3">
      <c r="G20" s="179" t="s">
        <v>209</v>
      </c>
      <c r="H20" s="180">
        <f>'TABELA_ESCLEROMETRIA Rev'!AG11</f>
        <v>40.196078431372548</v>
      </c>
      <c r="I20" s="180">
        <f>'TABELA_ESCLEROMETRIA Rev'!AJ11</f>
        <v>21.166076767433466</v>
      </c>
      <c r="J20" s="19"/>
      <c r="O20" s="197">
        <f t="shared" si="1"/>
        <v>17.5</v>
      </c>
      <c r="P20" s="198"/>
      <c r="Q20" s="198">
        <v>31.37</v>
      </c>
      <c r="R20" s="196" t="s">
        <v>246</v>
      </c>
    </row>
    <row r="21" spans="7:18" x14ac:dyDescent="0.3">
      <c r="G21" s="179" t="s">
        <v>210</v>
      </c>
      <c r="H21" s="180">
        <f>'TABELA_ESCLEROMETRIA Rev'!AG14</f>
        <v>31.297134238310708</v>
      </c>
      <c r="I21" s="180">
        <f>'TABELA_ESCLEROMETRIA Rev'!AJ14</f>
        <v>14.421272012057553</v>
      </c>
      <c r="J21" s="19"/>
      <c r="O21" s="194"/>
      <c r="P21" s="195"/>
      <c r="Q21" s="195"/>
      <c r="R21" s="196"/>
    </row>
    <row r="22" spans="7:18" x14ac:dyDescent="0.3">
      <c r="G22" s="179" t="s">
        <v>211</v>
      </c>
      <c r="H22" s="180">
        <f>'TABELA_ESCLEROMETRIA Rev'!AG15</f>
        <v>32.598039215686271</v>
      </c>
      <c r="I22" s="180">
        <f>'TABELA_ESCLEROMETRIA Rev'!AJ15</f>
        <v>15.334824240442652</v>
      </c>
      <c r="J22" s="19"/>
      <c r="O22" s="194"/>
      <c r="P22" s="195"/>
      <c r="Q22" s="195"/>
      <c r="R22" s="196"/>
    </row>
    <row r="23" spans="7:18" ht="15" thickBot="1" x14ac:dyDescent="0.35">
      <c r="G23" s="179" t="s">
        <v>212</v>
      </c>
      <c r="H23" s="180">
        <f>'TABELA_ESCLEROMETRIA Rev'!AG16</f>
        <v>31.862745098039213</v>
      </c>
      <c r="I23" s="180">
        <f>'TABELA_ESCLEROMETRIA Rev'!AJ16</f>
        <v>14.817578697011117</v>
      </c>
      <c r="J23" s="19"/>
      <c r="O23" s="199" t="s">
        <v>243</v>
      </c>
      <c r="P23" s="200"/>
      <c r="Q23" s="200">
        <f>2*SUM(Q4:Q10)/(R2-1)-Q11</f>
        <v>8.1628571428571384</v>
      </c>
      <c r="R23" s="201" t="s">
        <v>248</v>
      </c>
    </row>
    <row r="24" spans="7:18" x14ac:dyDescent="0.3">
      <c r="G24" s="179" t="s">
        <v>213</v>
      </c>
      <c r="H24" s="180">
        <f>'TABELA_ESCLEROMETRIA Rev'!AG18</f>
        <v>31.582633053221286</v>
      </c>
      <c r="I24" s="180">
        <f>'TABELA_ESCLEROMETRIA Rev'!AJ18</f>
        <v>14.621210848178794</v>
      </c>
      <c r="J24" s="19"/>
    </row>
    <row r="25" spans="7:18" x14ac:dyDescent="0.3">
      <c r="G25" s="179" t="s">
        <v>214</v>
      </c>
      <c r="H25" s="180">
        <f>'TABELA_ESCLEROMETRIA Rev'!AG20</f>
        <v>29.487179487179485</v>
      </c>
      <c r="I25" s="180">
        <f>'TABELA_ESCLEROMETRIA Rev'!AJ20</f>
        <v>13.15038976947182</v>
      </c>
      <c r="J25" s="19"/>
    </row>
    <row r="26" spans="7:18" x14ac:dyDescent="0.3">
      <c r="G26" s="179" t="s">
        <v>215</v>
      </c>
      <c r="H26" s="180">
        <f>'TABELA_ESCLEROMETRIA Rev'!AG21</f>
        <v>31.258826852462104</v>
      </c>
      <c r="I26" s="180">
        <f>'TABELA_ESCLEROMETRIA Rev'!AJ21</f>
        <v>14.394453985841428</v>
      </c>
      <c r="J26" s="19"/>
    </row>
    <row r="27" spans="7:18" x14ac:dyDescent="0.3">
      <c r="G27" s="179" t="s">
        <v>216</v>
      </c>
      <c r="H27" s="180">
        <f>'TABELA_ESCLEROMETRIA Rev'!AG22</f>
        <v>33.222591362126245</v>
      </c>
      <c r="I27" s="180">
        <f>'TABELA_ESCLEROMETRIA Rev'!AJ22</f>
        <v>15.777326530155092</v>
      </c>
      <c r="J27" s="19"/>
    </row>
    <row r="28" spans="7:18" x14ac:dyDescent="0.3">
      <c r="G28" s="179" t="s">
        <v>217</v>
      </c>
      <c r="H28" s="180">
        <f>'TABELA_ESCLEROMETRIA Rev'!AG24</f>
        <v>33.572302850148624</v>
      </c>
      <c r="I28" s="180">
        <f>'TABELA_ESCLEROMETRIA Rev'!AJ24</f>
        <v>16.026814784835917</v>
      </c>
      <c r="J28" s="19"/>
    </row>
    <row r="29" spans="7:18" x14ac:dyDescent="0.3">
      <c r="G29" s="179" t="s">
        <v>218</v>
      </c>
      <c r="H29" s="180">
        <f>'TABELA_ESCLEROMETRIA Rev'!AG25</f>
        <v>35.679314565483473</v>
      </c>
      <c r="I29" s="180">
        <f>'TABELA_ESCLEROMETRIA Rev'!AJ25</f>
        <v>17.566565512287088</v>
      </c>
      <c r="J29" s="19"/>
    </row>
    <row r="30" spans="7:18" x14ac:dyDescent="0.3">
      <c r="G30" s="179" t="s">
        <v>219</v>
      </c>
      <c r="H30" s="180">
        <f>'TABELA_ESCLEROMETRIA Rev'!AG26</f>
        <v>34.467564259485926</v>
      </c>
      <c r="I30" s="180">
        <f>'TABELA_ESCLEROMETRIA Rev'!AJ26</f>
        <v>16.672563647163827</v>
      </c>
      <c r="J30" s="19"/>
    </row>
    <row r="31" spans="7:18" x14ac:dyDescent="0.3">
      <c r="G31" s="179" t="s">
        <v>222</v>
      </c>
      <c r="H31" s="180">
        <f>'TABELA_ESCLEROMETRIA Rev'!AG31</f>
        <v>45.344129554655865</v>
      </c>
      <c r="I31" s="180">
        <f>'TABELA_ESCLEROMETRIA Rev'!AJ31</f>
        <v>21.930094860111559</v>
      </c>
      <c r="J31" s="19"/>
    </row>
    <row r="32" spans="7:18" x14ac:dyDescent="0.3">
      <c r="G32" s="179" t="s">
        <v>224</v>
      </c>
      <c r="H32" s="180">
        <f>'TABELA_ESCLEROMETRIA Rev'!AG27</f>
        <v>41.517747858017131</v>
      </c>
      <c r="I32" s="180">
        <f>'TABELA_ESCLEROMETRIA Rev'!AJ27</f>
        <v>18.733698700884318</v>
      </c>
      <c r="J32" s="19"/>
    </row>
    <row r="33" spans="7:10" x14ac:dyDescent="0.3">
      <c r="G33" s="179" t="s">
        <v>221</v>
      </c>
      <c r="H33" s="181">
        <f>'TABELA_ESCLEROMETRIA Rev'!AG30</f>
        <v>43.084455324357407</v>
      </c>
      <c r="I33" s="180">
        <f>'TABELA_ESCLEROMETRIA Rev'!AJ30</f>
        <v>19.996032879379854</v>
      </c>
      <c r="J33" s="19"/>
    </row>
    <row r="34" spans="7:10" x14ac:dyDescent="0.3">
      <c r="G34" s="179" t="s">
        <v>220</v>
      </c>
      <c r="H34" s="181">
        <f>'TABELA_ESCLEROMETRIA Rev'!AG29</f>
        <v>46.651512502185696</v>
      </c>
      <c r="I34" s="180">
        <f>'TABELA_ESCLEROMETRIA Rev'!AJ29</f>
        <v>23.11022156721139</v>
      </c>
      <c r="J34" s="19"/>
    </row>
    <row r="35" spans="7:10" x14ac:dyDescent="0.3">
      <c r="G35" s="183" t="s">
        <v>225</v>
      </c>
      <c r="H35" s="181">
        <f>AVERAGE(H18:H34)</f>
        <v>36.108433575970309</v>
      </c>
      <c r="I35" s="181">
        <f>AVERAGE(I18:I34)</f>
        <v>17.256034464988236</v>
      </c>
      <c r="J35" s="19"/>
    </row>
    <row r="36" spans="7:10" x14ac:dyDescent="0.3">
      <c r="G36" s="183" t="s">
        <v>226</v>
      </c>
      <c r="H36" s="182">
        <f>_xlfn.STDEV.S(H18:H34)</f>
        <v>5.3051568922070462</v>
      </c>
      <c r="I36" s="182">
        <f>_xlfn.STDEV.S(I18:I34)</f>
        <v>2.9117501233327219</v>
      </c>
      <c r="J36" s="19"/>
    </row>
    <row r="37" spans="7:10" x14ac:dyDescent="0.3">
      <c r="G37" s="183" t="s">
        <v>227</v>
      </c>
      <c r="H37" s="182">
        <f>H36/H35</f>
        <v>0.14692293092817957</v>
      </c>
      <c r="I37" s="182">
        <f>I36/I35</f>
        <v>0.16873807995924786</v>
      </c>
      <c r="J37" s="19"/>
    </row>
  </sheetData>
  <sortState xmlns:xlrd2="http://schemas.microsoft.com/office/spreadsheetml/2017/richdata2" ref="T5:T10">
    <sortCondition ref="T4:T10"/>
  </sortState>
  <mergeCells count="5">
    <mergeCell ref="O3:Q3"/>
    <mergeCell ref="T3:W3"/>
    <mergeCell ref="B2:B3"/>
    <mergeCell ref="C2:C3"/>
    <mergeCell ref="D2:D3"/>
  </mergeCells>
  <phoneticPr fontId="15" type="noConversion"/>
  <conditionalFormatting sqref="E4:E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10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8501-628C-4314-9A5B-7C76598A15AB}">
  <dimension ref="A2:G20"/>
  <sheetViews>
    <sheetView showGridLines="0" zoomScale="130" zoomScaleNormal="130" workbookViewId="0">
      <selection activeCell="E13" sqref="E13"/>
    </sheetView>
  </sheetViews>
  <sheetFormatPr defaultRowHeight="14.4" x14ac:dyDescent="0.3"/>
  <cols>
    <col min="1" max="1" width="14.88671875" bestFit="1" customWidth="1"/>
    <col min="2" max="2" width="12.88671875" bestFit="1" customWidth="1"/>
    <col min="3" max="3" width="14.88671875" bestFit="1" customWidth="1"/>
    <col min="4" max="4" width="13.88671875" bestFit="1" customWidth="1"/>
    <col min="5" max="5" width="14.88671875" bestFit="1" customWidth="1"/>
    <col min="6" max="6" width="13.88671875" bestFit="1" customWidth="1"/>
    <col min="7" max="7" width="14.88671875" bestFit="1" customWidth="1"/>
  </cols>
  <sheetData>
    <row r="2" spans="1:7" x14ac:dyDescent="0.3">
      <c r="B2" s="280" t="s">
        <v>258</v>
      </c>
      <c r="C2" s="280"/>
      <c r="D2" s="280" t="s">
        <v>259</v>
      </c>
      <c r="E2" s="280"/>
      <c r="F2" s="280" t="s">
        <v>260</v>
      </c>
      <c r="G2" s="280"/>
    </row>
    <row r="3" spans="1:7" ht="57.6" x14ac:dyDescent="0.3">
      <c r="A3" s="217"/>
      <c r="B3" s="215" t="s">
        <v>250</v>
      </c>
      <c r="C3" s="216" t="s">
        <v>249</v>
      </c>
      <c r="D3" s="215" t="s">
        <v>250</v>
      </c>
      <c r="E3" s="216" t="s">
        <v>249</v>
      </c>
      <c r="F3" s="215" t="s">
        <v>250</v>
      </c>
      <c r="G3" s="216" t="s">
        <v>249</v>
      </c>
    </row>
    <row r="4" spans="1:7" x14ac:dyDescent="0.3">
      <c r="B4" s="218" t="s">
        <v>197</v>
      </c>
      <c r="C4" s="218">
        <v>8.35</v>
      </c>
      <c r="D4" s="185" t="s">
        <v>253</v>
      </c>
      <c r="E4" s="185">
        <v>7.9</v>
      </c>
      <c r="F4" s="185" t="s">
        <v>253</v>
      </c>
      <c r="G4" s="185">
        <v>7.9</v>
      </c>
    </row>
    <row r="5" spans="1:7" ht="26.4" x14ac:dyDescent="0.3">
      <c r="B5" s="212" t="s">
        <v>194</v>
      </c>
      <c r="C5" s="212">
        <v>11.69</v>
      </c>
      <c r="D5" s="177" t="s">
        <v>257</v>
      </c>
      <c r="E5" s="177">
        <v>11.24</v>
      </c>
      <c r="F5" s="212" t="s">
        <v>197</v>
      </c>
      <c r="G5" s="212">
        <v>8.35</v>
      </c>
    </row>
    <row r="6" spans="1:7" ht="26.4" x14ac:dyDescent="0.3">
      <c r="B6" s="212" t="s">
        <v>193</v>
      </c>
      <c r="C6" s="212">
        <v>11.79</v>
      </c>
      <c r="D6" s="177" t="s">
        <v>251</v>
      </c>
      <c r="E6" s="177">
        <v>13.8</v>
      </c>
      <c r="F6" s="177" t="s">
        <v>257</v>
      </c>
      <c r="G6" s="177">
        <v>11.24</v>
      </c>
    </row>
    <row r="7" spans="1:7" ht="26.4" x14ac:dyDescent="0.3">
      <c r="B7" s="212" t="s">
        <v>198</v>
      </c>
      <c r="C7" s="212">
        <v>12.55</v>
      </c>
      <c r="D7" s="177" t="s">
        <v>252</v>
      </c>
      <c r="E7" s="177">
        <v>16.5</v>
      </c>
      <c r="F7" s="212" t="s">
        <v>194</v>
      </c>
      <c r="G7" s="212">
        <v>11.69</v>
      </c>
    </row>
    <row r="8" spans="1:7" ht="26.4" x14ac:dyDescent="0.3">
      <c r="B8" s="212" t="s">
        <v>228</v>
      </c>
      <c r="C8" s="212">
        <v>13.35</v>
      </c>
      <c r="D8" s="177" t="s">
        <v>256</v>
      </c>
      <c r="E8" s="177">
        <v>17.3</v>
      </c>
      <c r="F8" s="212" t="s">
        <v>193</v>
      </c>
      <c r="G8" s="212">
        <v>11.79</v>
      </c>
    </row>
    <row r="9" spans="1:7" ht="26.4" x14ac:dyDescent="0.3">
      <c r="B9" s="213" t="s">
        <v>195</v>
      </c>
      <c r="C9" s="213">
        <v>16.649999999999999</v>
      </c>
      <c r="D9" s="214" t="s">
        <v>255</v>
      </c>
      <c r="E9" s="214">
        <v>17.5</v>
      </c>
      <c r="F9" s="213" t="s">
        <v>198</v>
      </c>
      <c r="G9" s="213">
        <v>12.55</v>
      </c>
    </row>
    <row r="10" spans="1:7" x14ac:dyDescent="0.3">
      <c r="B10" s="212" t="s">
        <v>199</v>
      </c>
      <c r="C10" s="212">
        <v>17.88</v>
      </c>
      <c r="D10" s="177" t="s">
        <v>254</v>
      </c>
      <c r="E10" s="177">
        <v>19.100000000000001</v>
      </c>
      <c r="F10" s="212" t="s">
        <v>228</v>
      </c>
      <c r="G10" s="212">
        <v>13.35</v>
      </c>
    </row>
    <row r="11" spans="1:7" x14ac:dyDescent="0.3">
      <c r="B11" s="212" t="s">
        <v>196</v>
      </c>
      <c r="C11" s="212">
        <v>18.600000000000001</v>
      </c>
      <c r="F11" s="177" t="s">
        <v>251</v>
      </c>
      <c r="G11" s="177">
        <v>13.8</v>
      </c>
    </row>
    <row r="12" spans="1:7" ht="26.4" x14ac:dyDescent="0.3">
      <c r="B12" s="212" t="s">
        <v>201</v>
      </c>
      <c r="C12" s="212">
        <v>30.31</v>
      </c>
      <c r="F12" s="177" t="s">
        <v>252</v>
      </c>
      <c r="G12" s="177">
        <v>16.5</v>
      </c>
    </row>
    <row r="13" spans="1:7" ht="26.4" x14ac:dyDescent="0.3">
      <c r="B13" s="212" t="s">
        <v>200</v>
      </c>
      <c r="C13" s="212">
        <v>31.37</v>
      </c>
      <c r="F13" s="212" t="s">
        <v>195</v>
      </c>
      <c r="G13" s="212">
        <v>16.649999999999999</v>
      </c>
    </row>
    <row r="14" spans="1:7" x14ac:dyDescent="0.3">
      <c r="F14" s="177" t="s">
        <v>256</v>
      </c>
      <c r="G14" s="177">
        <v>17.3</v>
      </c>
    </row>
    <row r="15" spans="1:7" x14ac:dyDescent="0.3">
      <c r="F15" s="177" t="s">
        <v>255</v>
      </c>
      <c r="G15" s="177">
        <v>17.5</v>
      </c>
    </row>
    <row r="16" spans="1:7" x14ac:dyDescent="0.3">
      <c r="F16" s="212" t="s">
        <v>199</v>
      </c>
      <c r="G16" s="212">
        <v>17.88</v>
      </c>
    </row>
    <row r="17" spans="6:7" x14ac:dyDescent="0.3">
      <c r="F17" s="212" t="s">
        <v>196</v>
      </c>
      <c r="G17" s="212">
        <v>18.600000000000001</v>
      </c>
    </row>
    <row r="18" spans="6:7" x14ac:dyDescent="0.3">
      <c r="F18" s="177" t="s">
        <v>254</v>
      </c>
      <c r="G18" s="177">
        <v>19.100000000000001</v>
      </c>
    </row>
    <row r="19" spans="6:7" ht="26.4" x14ac:dyDescent="0.3">
      <c r="F19" s="212" t="s">
        <v>201</v>
      </c>
      <c r="G19" s="212">
        <v>30.31</v>
      </c>
    </row>
    <row r="20" spans="6:7" ht="26.4" x14ac:dyDescent="0.3">
      <c r="F20" s="212" t="s">
        <v>200</v>
      </c>
      <c r="G20" s="212">
        <v>31.37</v>
      </c>
    </row>
  </sheetData>
  <sortState xmlns:xlrd2="http://schemas.microsoft.com/office/spreadsheetml/2017/richdata2" ref="F4:G20">
    <sortCondition ref="G4:G20"/>
  </sortState>
  <mergeCells count="3">
    <mergeCell ref="F2:G2"/>
    <mergeCell ref="D2:E2"/>
    <mergeCell ref="B2:C2"/>
  </mergeCells>
  <phoneticPr fontId="15" type="noConversion"/>
  <conditionalFormatting sqref="C4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:G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977724-8BF9-4D03-958A-29C888F514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 CARBONATACAO</vt:lpstr>
      <vt:lpstr>TABELA_ESCLEROMETRIA Rev</vt:lpstr>
      <vt:lpstr>Curvas</vt:lpstr>
      <vt:lpstr>compPauloBArroso</vt:lpstr>
      <vt:lpstr>SonRab</vt:lpstr>
      <vt:lpstr>compfckPauloBarroso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Capela</dc:creator>
  <cp:lastModifiedBy>Remo Magalhães de Souza</cp:lastModifiedBy>
  <cp:lastPrinted>2025-12-19T18:52:18Z</cp:lastPrinted>
  <dcterms:created xsi:type="dcterms:W3CDTF">2025-09-29T21:18:20Z</dcterms:created>
  <dcterms:modified xsi:type="dcterms:W3CDTF">2026-01-21T06:28:53Z</dcterms:modified>
</cp:coreProperties>
</file>