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14ca4ed5cbd9145/myWebSitesVScode/espEngFerrovIntegrPontes/parte01_END_concr/media/esclerometria/"/>
    </mc:Choice>
  </mc:AlternateContent>
  <xr:revisionPtr revIDLastSave="37" documentId="13_ncr:1_{DAABC195-199E-4726-BC15-E504CCFF2D83}" xr6:coauthVersionLast="47" xr6:coauthVersionMax="47" xr10:uidLastSave="{46052672-884C-4093-9290-4AF9CE6B1B5D}"/>
  <bookViews>
    <workbookView minimized="1" xWindow="32205" yWindow="3735" windowWidth="17280" windowHeight="8880" activeTab="5" xr2:uid="{9A746B6E-5B14-49D6-94F2-6D86E29A27E7}"/>
  </bookViews>
  <sheets>
    <sheet name="Table1" sheetId="2" r:id="rId1"/>
    <sheet name="Table3" sheetId="3" r:id="rId2"/>
    <sheet name="TABELA CARBONATACAO" sheetId="4" r:id="rId3"/>
    <sheet name="Sheet1" sheetId="6" r:id="rId4"/>
    <sheet name="TABELA_ESCLEROMETRIA REV (2)" sheetId="7" r:id="rId5"/>
    <sheet name="Sheet1 (2)" sheetId="8" r:id="rId6"/>
  </sheets>
  <definedNames>
    <definedName name="ExternalData_1" localSheetId="0" hidden="1">Table1!$A$1:$B$23</definedName>
    <definedName name="ExternalData_1" localSheetId="1" hidden="1">Table3!$A$1:$B$16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8" i="7" l="1"/>
  <c r="W88" i="7" s="1"/>
  <c r="U87" i="7"/>
  <c r="W87" i="7" s="1"/>
  <c r="U86" i="7"/>
  <c r="V86" i="7" s="1"/>
  <c r="U85" i="7"/>
  <c r="W85" i="7" s="1"/>
  <c r="U84" i="7"/>
  <c r="W84" i="7" s="1"/>
  <c r="U83" i="7"/>
  <c r="W83" i="7" s="1"/>
  <c r="U82" i="7"/>
  <c r="V82" i="7" s="1"/>
  <c r="U81" i="7"/>
  <c r="W81" i="7" s="1"/>
  <c r="U80" i="7"/>
  <c r="W80" i="7" s="1"/>
  <c r="U79" i="7"/>
  <c r="W79" i="7" s="1"/>
  <c r="U78" i="7"/>
  <c r="V78" i="7" s="1"/>
  <c r="U77" i="7"/>
  <c r="W77" i="7" s="1"/>
  <c r="U76" i="7"/>
  <c r="W76" i="7" s="1"/>
  <c r="U75" i="7"/>
  <c r="W75" i="7" s="1"/>
  <c r="W74" i="7"/>
  <c r="U74" i="7"/>
  <c r="V74" i="7" s="1"/>
  <c r="U73" i="7"/>
  <c r="W73" i="7" s="1"/>
  <c r="U72" i="7"/>
  <c r="W72" i="7" s="1"/>
  <c r="U71" i="7"/>
  <c r="W71" i="7" s="1"/>
  <c r="U70" i="7"/>
  <c r="V70" i="7" s="1"/>
  <c r="U69" i="7"/>
  <c r="V69" i="7" s="1"/>
  <c r="U68" i="7"/>
  <c r="W68" i="7" s="1"/>
  <c r="U67" i="7"/>
  <c r="W67" i="7" s="1"/>
  <c r="U66" i="7"/>
  <c r="V66" i="7" s="1"/>
  <c r="W65" i="7"/>
  <c r="V65" i="7"/>
  <c r="X65" i="7" s="1"/>
  <c r="U65" i="7"/>
  <c r="U64" i="7"/>
  <c r="W64" i="7" s="1"/>
  <c r="U63" i="7"/>
  <c r="W63" i="7" s="1"/>
  <c r="W62" i="7"/>
  <c r="U62" i="7"/>
  <c r="V62" i="7" s="1"/>
  <c r="U61" i="7"/>
  <c r="V61" i="7" s="1"/>
  <c r="U60" i="7"/>
  <c r="W60" i="7" s="1"/>
  <c r="U59" i="7"/>
  <c r="W59" i="7" s="1"/>
  <c r="U58" i="7"/>
  <c r="V58" i="7" s="1"/>
  <c r="W57" i="7"/>
  <c r="V57" i="7"/>
  <c r="X57" i="7" s="1"/>
  <c r="U57" i="7"/>
  <c r="U56" i="7"/>
  <c r="W56" i="7" s="1"/>
  <c r="U55" i="7"/>
  <c r="W55" i="7" s="1"/>
  <c r="W54" i="7"/>
  <c r="U54" i="7"/>
  <c r="V54" i="7" s="1"/>
  <c r="U53" i="7"/>
  <c r="W53" i="7" s="1"/>
  <c r="U52" i="7"/>
  <c r="W52" i="7" s="1"/>
  <c r="U51" i="7"/>
  <c r="W51" i="7" s="1"/>
  <c r="J12" i="8"/>
  <c r="K12" i="8" s="1"/>
  <c r="AC26" i="7"/>
  <c r="Q36" i="8"/>
  <c r="T35" i="8"/>
  <c r="Q35" i="8"/>
  <c r="T34" i="8"/>
  <c r="Q34" i="8"/>
  <c r="T33" i="8"/>
  <c r="Q33" i="8"/>
  <c r="T32" i="8"/>
  <c r="Q32" i="8"/>
  <c r="T31" i="8"/>
  <c r="Q31" i="8"/>
  <c r="T30" i="8"/>
  <c r="I26" i="8"/>
  <c r="J26" i="8"/>
  <c r="K26" i="8"/>
  <c r="I25" i="8"/>
  <c r="J25" i="8"/>
  <c r="K25" i="8"/>
  <c r="I24" i="8"/>
  <c r="J24" i="8"/>
  <c r="K24" i="8" s="1"/>
  <c r="J23" i="8"/>
  <c r="K23" i="8" s="1"/>
  <c r="I23" i="8"/>
  <c r="I22" i="8"/>
  <c r="J22" i="8"/>
  <c r="K22" i="8" s="1"/>
  <c r="I21" i="8"/>
  <c r="J21" i="8"/>
  <c r="K21" i="8"/>
  <c r="I20" i="8"/>
  <c r="J20" i="8" s="1"/>
  <c r="K20" i="8" s="1"/>
  <c r="I19" i="8"/>
  <c r="J19" i="8"/>
  <c r="K19" i="8"/>
  <c r="I18" i="8"/>
  <c r="J18" i="8"/>
  <c r="K18" i="8" s="1"/>
  <c r="I17" i="8"/>
  <c r="J17" i="8" s="1"/>
  <c r="K17" i="8" s="1"/>
  <c r="I16" i="8"/>
  <c r="J16" i="8"/>
  <c r="K16" i="8"/>
  <c r="I15" i="8"/>
  <c r="J15" i="8" s="1"/>
  <c r="K15" i="8" s="1"/>
  <c r="I14" i="8"/>
  <c r="J14" i="8"/>
  <c r="K14" i="8"/>
  <c r="I13" i="8"/>
  <c r="J13" i="8" s="1"/>
  <c r="K13" i="8" s="1"/>
  <c r="I12" i="8"/>
  <c r="I11" i="8"/>
  <c r="J11" i="8"/>
  <c r="K11" i="8" s="1"/>
  <c r="I10" i="8"/>
  <c r="J10" i="8"/>
  <c r="K10" i="8"/>
  <c r="I9" i="8"/>
  <c r="J9" i="8"/>
  <c r="K9" i="8"/>
  <c r="I8" i="8"/>
  <c r="J8" i="8"/>
  <c r="K8" i="8"/>
  <c r="I7" i="8"/>
  <c r="J7" i="8"/>
  <c r="K7" i="8" s="1"/>
  <c r="J6" i="8"/>
  <c r="K6" i="8" s="1"/>
  <c r="I6" i="8"/>
  <c r="I5" i="8"/>
  <c r="J5" i="8"/>
  <c r="K5" i="8"/>
  <c r="AC41" i="7"/>
  <c r="U41" i="7"/>
  <c r="W41" i="7" s="1"/>
  <c r="AC40" i="7"/>
  <c r="U40" i="7"/>
  <c r="W40" i="7" s="1"/>
  <c r="AC39" i="7"/>
  <c r="U39" i="7"/>
  <c r="V39" i="7" s="1"/>
  <c r="AC38" i="7"/>
  <c r="U38" i="7"/>
  <c r="W38" i="7" s="1"/>
  <c r="AC37" i="7"/>
  <c r="U37" i="7"/>
  <c r="W37" i="7" s="1"/>
  <c r="AC36" i="7"/>
  <c r="U36" i="7"/>
  <c r="V36" i="7" s="1"/>
  <c r="AC35" i="7"/>
  <c r="U35" i="7"/>
  <c r="W35" i="7" s="1"/>
  <c r="AC34" i="7"/>
  <c r="U34" i="7"/>
  <c r="W34" i="7" s="1"/>
  <c r="AC33" i="7"/>
  <c r="U33" i="7"/>
  <c r="W33" i="7" s="1"/>
  <c r="AC32" i="7"/>
  <c r="U32" i="7"/>
  <c r="W32" i="7" s="1"/>
  <c r="AC31" i="7"/>
  <c r="U31" i="7"/>
  <c r="W31" i="7" s="1"/>
  <c r="AC30" i="7"/>
  <c r="U30" i="7"/>
  <c r="W30" i="7" s="1"/>
  <c r="AC29" i="7"/>
  <c r="U29" i="7"/>
  <c r="V29" i="7" s="1"/>
  <c r="AC28" i="7"/>
  <c r="U28" i="7"/>
  <c r="W28" i="7" s="1"/>
  <c r="AC27" i="7"/>
  <c r="U27" i="7"/>
  <c r="V27" i="7" s="1"/>
  <c r="U26" i="7"/>
  <c r="W26" i="7" s="1"/>
  <c r="AC25" i="7"/>
  <c r="U25" i="7"/>
  <c r="W25" i="7" s="1"/>
  <c r="AC24" i="7"/>
  <c r="U24" i="7"/>
  <c r="W24" i="7" s="1"/>
  <c r="AC23" i="7"/>
  <c r="U23" i="7"/>
  <c r="W23" i="7" s="1"/>
  <c r="AC22" i="7"/>
  <c r="U22" i="7"/>
  <c r="W22" i="7" s="1"/>
  <c r="AC21" i="7"/>
  <c r="U21" i="7"/>
  <c r="W21" i="7" s="1"/>
  <c r="AC20" i="7"/>
  <c r="U20" i="7"/>
  <c r="V20" i="7" s="1"/>
  <c r="AC19" i="7"/>
  <c r="U19" i="7"/>
  <c r="W19" i="7" s="1"/>
  <c r="AC18" i="7"/>
  <c r="U18" i="7"/>
  <c r="W18" i="7" s="1"/>
  <c r="AC17" i="7"/>
  <c r="U17" i="7"/>
  <c r="W17" i="7" s="1"/>
  <c r="AC16" i="7"/>
  <c r="U16" i="7"/>
  <c r="W16" i="7" s="1"/>
  <c r="AC15" i="7"/>
  <c r="U15" i="7"/>
  <c r="W15" i="7" s="1"/>
  <c r="AC14" i="7"/>
  <c r="U14" i="7"/>
  <c r="V14" i="7" s="1"/>
  <c r="AC13" i="7"/>
  <c r="U13" i="7"/>
  <c r="V13" i="7" s="1"/>
  <c r="AC12" i="7"/>
  <c r="U12" i="7"/>
  <c r="W12" i="7" s="1"/>
  <c r="AC11" i="7"/>
  <c r="U11" i="7"/>
  <c r="W11" i="7" s="1"/>
  <c r="AC10" i="7"/>
  <c r="U10" i="7"/>
  <c r="V10" i="7" s="1"/>
  <c r="AC9" i="7"/>
  <c r="U9" i="7"/>
  <c r="V9" i="7" s="1"/>
  <c r="AC8" i="7"/>
  <c r="U8" i="7"/>
  <c r="V8" i="7" s="1"/>
  <c r="AC7" i="7"/>
  <c r="U7" i="7"/>
  <c r="W7" i="7" s="1"/>
  <c r="AC6" i="7"/>
  <c r="U6" i="7"/>
  <c r="V6" i="7" s="1"/>
  <c r="AC5" i="7"/>
  <c r="U5" i="7"/>
  <c r="W5" i="7" s="1"/>
  <c r="AC4" i="7"/>
  <c r="U4" i="7"/>
  <c r="V4" i="7" s="1"/>
  <c r="AC3" i="7"/>
  <c r="V7" i="7"/>
  <c r="P68" i="4"/>
  <c r="Q68" i="4"/>
  <c r="P67" i="4"/>
  <c r="Q67" i="4" s="1"/>
  <c r="P66" i="4"/>
  <c r="Q66" i="4" s="1"/>
  <c r="P65" i="4"/>
  <c r="Q65" i="4" s="1"/>
  <c r="P64" i="4"/>
  <c r="Q64" i="4" s="1"/>
  <c r="P63" i="4"/>
  <c r="Q63" i="4"/>
  <c r="P62" i="4"/>
  <c r="Q62" i="4"/>
  <c r="P61" i="4"/>
  <c r="Q61" i="4"/>
  <c r="P60" i="4"/>
  <c r="Q60" i="4"/>
  <c r="P59" i="4"/>
  <c r="Q59" i="4" s="1"/>
  <c r="P58" i="4"/>
  <c r="Q58" i="4" s="1"/>
  <c r="P57" i="4"/>
  <c r="Q57" i="4" s="1"/>
  <c r="P56" i="4"/>
  <c r="Q56" i="4" s="1"/>
  <c r="P55" i="4"/>
  <c r="Q55" i="4"/>
  <c r="P54" i="4"/>
  <c r="Q54" i="4"/>
  <c r="P49" i="4"/>
  <c r="Q49" i="4"/>
  <c r="P48" i="4"/>
  <c r="Q48" i="4"/>
  <c r="P47" i="4"/>
  <c r="Q47" i="4" s="1"/>
  <c r="P46" i="4"/>
  <c r="Q46" i="4" s="1"/>
  <c r="P45" i="4"/>
  <c r="Q45" i="4" s="1"/>
  <c r="P44" i="4"/>
  <c r="Q44" i="4" s="1"/>
  <c r="P43" i="4"/>
  <c r="Q43" i="4"/>
  <c r="P42" i="4"/>
  <c r="Q42" i="4"/>
  <c r="P41" i="4"/>
  <c r="Q41" i="4"/>
  <c r="P40" i="4"/>
  <c r="Q40" i="4"/>
  <c r="P39" i="4"/>
  <c r="Q39" i="4" s="1"/>
  <c r="P38" i="4"/>
  <c r="Q38" i="4" s="1"/>
  <c r="P37" i="4"/>
  <c r="Q37" i="4" s="1"/>
  <c r="P36" i="4"/>
  <c r="Q36" i="4" s="1"/>
  <c r="P35" i="4"/>
  <c r="Q35" i="4"/>
  <c r="P33" i="4"/>
  <c r="Q33" i="4"/>
  <c r="P32" i="4"/>
  <c r="Q32" i="4"/>
  <c r="P31" i="4"/>
  <c r="Q31" i="4"/>
  <c r="P30" i="4"/>
  <c r="Q30" i="4" s="1"/>
  <c r="P29" i="4"/>
  <c r="Q29" i="4" s="1"/>
  <c r="P28" i="4"/>
  <c r="Q28" i="4" s="1"/>
  <c r="P27" i="4"/>
  <c r="Q27" i="4" s="1"/>
  <c r="P26" i="4"/>
  <c r="Q26" i="4"/>
  <c r="P25" i="4"/>
  <c r="Q25" i="4"/>
  <c r="P24" i="4"/>
  <c r="Q24" i="4"/>
  <c r="P23" i="4"/>
  <c r="Q23" i="4"/>
  <c r="P22" i="4"/>
  <c r="Q22" i="4" s="1"/>
  <c r="P21" i="4"/>
  <c r="Q21" i="4" s="1"/>
  <c r="P20" i="4"/>
  <c r="Q20" i="4" s="1"/>
  <c r="N9" i="8" l="1"/>
  <c r="N10" i="8"/>
  <c r="N13" i="8" s="1"/>
  <c r="V77" i="7"/>
  <c r="X77" i="7" s="1"/>
  <c r="Z77" i="7" s="1"/>
  <c r="W69" i="7"/>
  <c r="X69" i="7" s="1"/>
  <c r="W78" i="7"/>
  <c r="X78" i="7" s="1"/>
  <c r="M9" i="8"/>
  <c r="W70" i="7"/>
  <c r="X70" i="7" s="1"/>
  <c r="W61" i="7"/>
  <c r="X61" i="7" s="1"/>
  <c r="V53" i="7"/>
  <c r="X53" i="7" s="1"/>
  <c r="Y53" i="7" s="1"/>
  <c r="X62" i="7"/>
  <c r="Z62" i="7" s="1"/>
  <c r="W82" i="7"/>
  <c r="X82" i="7" s="1"/>
  <c r="M10" i="8"/>
  <c r="X54" i="7"/>
  <c r="Z54" i="7" s="1"/>
  <c r="V73" i="7"/>
  <c r="X73" i="7" s="1"/>
  <c r="W58" i="7"/>
  <c r="X58" i="7" s="1"/>
  <c r="X74" i="7"/>
  <c r="Z74" i="7" s="1"/>
  <c r="V85" i="7"/>
  <c r="X85" i="7" s="1"/>
  <c r="Y85" i="7" s="1"/>
  <c r="V81" i="7"/>
  <c r="X81" i="7" s="1"/>
  <c r="Z81" i="7" s="1"/>
  <c r="W66" i="7"/>
  <c r="X66" i="7" s="1"/>
  <c r="Z66" i="7" s="1"/>
  <c r="Z57" i="7"/>
  <c r="Y57" i="7"/>
  <c r="Z65" i="7"/>
  <c r="Y65" i="7"/>
  <c r="Z53" i="7"/>
  <c r="Y54" i="7"/>
  <c r="Z73" i="7"/>
  <c r="Y73" i="7"/>
  <c r="W86" i="7"/>
  <c r="X86" i="7" s="1"/>
  <c r="V52" i="7"/>
  <c r="X52" i="7" s="1"/>
  <c r="V56" i="7"/>
  <c r="X56" i="7" s="1"/>
  <c r="V60" i="7"/>
  <c r="X60" i="7" s="1"/>
  <c r="V64" i="7"/>
  <c r="X64" i="7" s="1"/>
  <c r="V68" i="7"/>
  <c r="X68" i="7" s="1"/>
  <c r="V72" i="7"/>
  <c r="X72" i="7" s="1"/>
  <c r="V76" i="7"/>
  <c r="X76" i="7" s="1"/>
  <c r="V80" i="7"/>
  <c r="X80" i="7" s="1"/>
  <c r="V84" i="7"/>
  <c r="X84" i="7" s="1"/>
  <c r="V88" i="7"/>
  <c r="X88" i="7" s="1"/>
  <c r="V51" i="7"/>
  <c r="X51" i="7" s="1"/>
  <c r="V55" i="7"/>
  <c r="X55" i="7" s="1"/>
  <c r="V59" i="7"/>
  <c r="X59" i="7" s="1"/>
  <c r="V63" i="7"/>
  <c r="X63" i="7" s="1"/>
  <c r="V67" i="7"/>
  <c r="X67" i="7" s="1"/>
  <c r="V71" i="7"/>
  <c r="X71" i="7" s="1"/>
  <c r="V75" i="7"/>
  <c r="X75" i="7" s="1"/>
  <c r="V79" i="7"/>
  <c r="X79" i="7" s="1"/>
  <c r="V83" i="7"/>
  <c r="X83" i="7" s="1"/>
  <c r="V87" i="7"/>
  <c r="X87" i="7" s="1"/>
  <c r="W4" i="7"/>
  <c r="W36" i="7"/>
  <c r="V23" i="7"/>
  <c r="X23" i="7" s="1"/>
  <c r="Z23" i="7" s="1"/>
  <c r="V22" i="7"/>
  <c r="V15" i="7"/>
  <c r="V12" i="7"/>
  <c r="X12" i="7" s="1"/>
  <c r="Y12" i="7" s="1"/>
  <c r="V26" i="7"/>
  <c r="X26" i="7" s="1"/>
  <c r="Y26" i="7" s="1"/>
  <c r="W10" i="7"/>
  <c r="X10" i="7" s="1"/>
  <c r="W8" i="7"/>
  <c r="X8" i="7" s="1"/>
  <c r="W27" i="7"/>
  <c r="X27" i="7" s="1"/>
  <c r="W20" i="7"/>
  <c r="X20" i="7" s="1"/>
  <c r="Y20" i="7" s="1"/>
  <c r="V21" i="7"/>
  <c r="X21" i="7" s="1"/>
  <c r="V25" i="7"/>
  <c r="X25" i="7" s="1"/>
  <c r="Z25" i="7" s="1"/>
  <c r="W39" i="7"/>
  <c r="X39" i="7" s="1"/>
  <c r="Z39" i="7" s="1"/>
  <c r="V34" i="7"/>
  <c r="X34" i="7" s="1"/>
  <c r="V35" i="7"/>
  <c r="X35" i="7" s="1"/>
  <c r="V41" i="7"/>
  <c r="X41" i="7" s="1"/>
  <c r="Z41" i="7" s="1"/>
  <c r="V37" i="7"/>
  <c r="X37" i="7" s="1"/>
  <c r="V30" i="7"/>
  <c r="X30" i="7" s="1"/>
  <c r="AD30" i="7" s="1"/>
  <c r="AE30" i="7" s="1" a="1"/>
  <c r="X22" i="7"/>
  <c r="Z22" i="7" s="1"/>
  <c r="X4" i="7"/>
  <c r="AD4" i="7" s="1"/>
  <c r="AE4" i="7" s="1" a="1"/>
  <c r="X15" i="7"/>
  <c r="AD15" i="7" s="1"/>
  <c r="AE15" i="7" s="1" a="1"/>
  <c r="V32" i="7"/>
  <c r="X32" i="7" s="1"/>
  <c r="V16" i="7"/>
  <c r="X16" i="7" s="1"/>
  <c r="AD16" i="7" s="1"/>
  <c r="AE16" i="7" s="1" a="1"/>
  <c r="V18" i="7"/>
  <c r="X18" i="7" s="1"/>
  <c r="V33" i="7"/>
  <c r="X33" i="7" s="1"/>
  <c r="AD33" i="7" s="1"/>
  <c r="AE33" i="7" s="1" a="1"/>
  <c r="W6" i="7"/>
  <c r="X6" i="7" s="1"/>
  <c r="W9" i="7"/>
  <c r="X9" i="7" s="1"/>
  <c r="X36" i="7"/>
  <c r="Y36" i="7" s="1"/>
  <c r="V11" i="7"/>
  <c r="X11" i="7" s="1"/>
  <c r="AD11" i="7" s="1"/>
  <c r="AE11" i="7" s="1" a="1"/>
  <c r="V40" i="7"/>
  <c r="X40" i="7" s="1"/>
  <c r="V24" i="7"/>
  <c r="X24" i="7" s="1"/>
  <c r="Y24" i="7" s="1"/>
  <c r="V38" i="7"/>
  <c r="X38" i="7" s="1"/>
  <c r="Y38" i="7" s="1"/>
  <c r="V17" i="7"/>
  <c r="X17" i="7" s="1"/>
  <c r="W14" i="7"/>
  <c r="X14" i="7" s="1"/>
  <c r="V31" i="7"/>
  <c r="X31" i="7" s="1"/>
  <c r="Y31" i="7" s="1"/>
  <c r="Z12" i="7"/>
  <c r="Y22" i="7"/>
  <c r="X7" i="7"/>
  <c r="AD7" i="7" s="1"/>
  <c r="AE7" i="7" s="1" a="1"/>
  <c r="V19" i="7"/>
  <c r="X19" i="7" s="1"/>
  <c r="AD19" i="7" s="1"/>
  <c r="AE19" i="7" s="1" a="1"/>
  <c r="V5" i="7"/>
  <c r="X5" i="7" s="1"/>
  <c r="AD5" i="7" s="1"/>
  <c r="AE5" i="7" s="1" a="1"/>
  <c r="W13" i="7"/>
  <c r="X13" i="7" s="1"/>
  <c r="AD13" i="7" s="1"/>
  <c r="AE13" i="7" s="1" a="1"/>
  <c r="W29" i="7"/>
  <c r="X29" i="7" s="1"/>
  <c r="V28" i="7"/>
  <c r="X28" i="7" s="1"/>
  <c r="Z58" i="7" l="1"/>
  <c r="Y58" i="7"/>
  <c r="Y82" i="7"/>
  <c r="Z82" i="7"/>
  <c r="Z61" i="7"/>
  <c r="Y61" i="7"/>
  <c r="Y78" i="7"/>
  <c r="Z78" i="7"/>
  <c r="Z70" i="7"/>
  <c r="Y70" i="7"/>
  <c r="Z69" i="7"/>
  <c r="Y69" i="7"/>
  <c r="Y4" i="7"/>
  <c r="AD12" i="7"/>
  <c r="Y74" i="7"/>
  <c r="Y77" i="7"/>
  <c r="Y62" i="7"/>
  <c r="O10" i="8"/>
  <c r="M13" i="8"/>
  <c r="Z85" i="7"/>
  <c r="Y81" i="7"/>
  <c r="Y66" i="7"/>
  <c r="Y86" i="7"/>
  <c r="Z86" i="7"/>
  <c r="Z64" i="7"/>
  <c r="Y64" i="7"/>
  <c r="Y51" i="7"/>
  <c r="Z51" i="7"/>
  <c r="Z60" i="7"/>
  <c r="Y60" i="7"/>
  <c r="Y79" i="7"/>
  <c r="Z79" i="7"/>
  <c r="Z88" i="7"/>
  <c r="Y88" i="7"/>
  <c r="Z56" i="7"/>
  <c r="Y56" i="7"/>
  <c r="Z83" i="7"/>
  <c r="Y83" i="7"/>
  <c r="Z84" i="7"/>
  <c r="Y84" i="7"/>
  <c r="Z52" i="7"/>
  <c r="Y52" i="7"/>
  <c r="Z87" i="7"/>
  <c r="Y87" i="7"/>
  <c r="Z80" i="7"/>
  <c r="Y80" i="7"/>
  <c r="Z75" i="7"/>
  <c r="Y75" i="7"/>
  <c r="Z67" i="7"/>
  <c r="Y67" i="7"/>
  <c r="Z76" i="7"/>
  <c r="Y76" i="7"/>
  <c r="Z55" i="7"/>
  <c r="Y55" i="7"/>
  <c r="Z71" i="7"/>
  <c r="Y71" i="7"/>
  <c r="Z63" i="7"/>
  <c r="Y63" i="7"/>
  <c r="Z72" i="7"/>
  <c r="Y72" i="7"/>
  <c r="Z59" i="7"/>
  <c r="Y59" i="7"/>
  <c r="Z68" i="7"/>
  <c r="Y68" i="7"/>
  <c r="AD10" i="7"/>
  <c r="AE10" i="7" s="1" a="1"/>
  <c r="AE10" i="7" s="1"/>
  <c r="AF10" i="7" s="1"/>
  <c r="Z10" i="7"/>
  <c r="Z16" i="7"/>
  <c r="AD26" i="7"/>
  <c r="AE26" i="7" s="1" a="1"/>
  <c r="Z26" i="7"/>
  <c r="Y23" i="7"/>
  <c r="Y8" i="7"/>
  <c r="Z8" i="7"/>
  <c r="AD22" i="7"/>
  <c r="AE22" i="7" s="1" a="1"/>
  <c r="AE22" i="7" s="1"/>
  <c r="AF22" i="7" s="1"/>
  <c r="Y16" i="7"/>
  <c r="AE12" i="7" a="1"/>
  <c r="AE12" i="7" s="1"/>
  <c r="AF12" i="7" s="1"/>
  <c r="Z6" i="7"/>
  <c r="Y6" i="7"/>
  <c r="Z17" i="7"/>
  <c r="Z11" i="7"/>
  <c r="Y11" i="7"/>
  <c r="Y10" i="7"/>
  <c r="Z4" i="7"/>
  <c r="Y17" i="7"/>
  <c r="Z15" i="7"/>
  <c r="Y15" i="7"/>
  <c r="Y27" i="7"/>
  <c r="Z27" i="7"/>
  <c r="AD25" i="7"/>
  <c r="Y25" i="7"/>
  <c r="Z38" i="7"/>
  <c r="AD38" i="7"/>
  <c r="Z36" i="7"/>
  <c r="AD36" i="7"/>
  <c r="Y34" i="7"/>
  <c r="Z34" i="7"/>
  <c r="AD41" i="7"/>
  <c r="AD39" i="7"/>
  <c r="Y39" i="7"/>
  <c r="Z37" i="7"/>
  <c r="Y37" i="7"/>
  <c r="AD37" i="7"/>
  <c r="Z33" i="7"/>
  <c r="Y33" i="7"/>
  <c r="Y40" i="7"/>
  <c r="Z40" i="7"/>
  <c r="Z14" i="7"/>
  <c r="Y14" i="7"/>
  <c r="Y32" i="7"/>
  <c r="AD32" i="7"/>
  <c r="Z32" i="7"/>
  <c r="Z9" i="7"/>
  <c r="Y9" i="7"/>
  <c r="AD9" i="7"/>
  <c r="AD24" i="7"/>
  <c r="Z20" i="7"/>
  <c r="AD31" i="7"/>
  <c r="Z24" i="7"/>
  <c r="Z31" i="7"/>
  <c r="Y41" i="7"/>
  <c r="AD34" i="7"/>
  <c r="AD6" i="7"/>
  <c r="AD14" i="7"/>
  <c r="AD28" i="7"/>
  <c r="AE28" i="7" s="1" a="1"/>
  <c r="AD40" i="7"/>
  <c r="AE40" i="7" s="1" a="1"/>
  <c r="AE7" i="7"/>
  <c r="AF7" i="7" s="1"/>
  <c r="AE4" i="7"/>
  <c r="AF4" i="7" s="1"/>
  <c r="AE19" i="7"/>
  <c r="AF19" i="7" s="1"/>
  <c r="AE13" i="7"/>
  <c r="AF13" i="7" s="1"/>
  <c r="AE30" i="7"/>
  <c r="AF30" i="7" s="1"/>
  <c r="AD8" i="7"/>
  <c r="AE8" i="7" s="1" a="1"/>
  <c r="Z18" i="7"/>
  <c r="Y18" i="7"/>
  <c r="Y13" i="7"/>
  <c r="Z13" i="7"/>
  <c r="AD18" i="7"/>
  <c r="AE18" i="7" s="1" a="1"/>
  <c r="AE33" i="7"/>
  <c r="AF33" i="7" s="1"/>
  <c r="AE16" i="7"/>
  <c r="AF16" i="7" s="1"/>
  <c r="Y7" i="7"/>
  <c r="Z7" i="7"/>
  <c r="AD35" i="7"/>
  <c r="AE35" i="7" s="1" a="1"/>
  <c r="AE11" i="7"/>
  <c r="AF11" i="7" s="1"/>
  <c r="Y30" i="7"/>
  <c r="AD23" i="7"/>
  <c r="AE23" i="7" s="1" a="1"/>
  <c r="Z30" i="7"/>
  <c r="AE15" i="7"/>
  <c r="AF15" i="7" s="1"/>
  <c r="Y5" i="7"/>
  <c r="AD17" i="7"/>
  <c r="AE17" i="7" s="1" a="1"/>
  <c r="Z5" i="7"/>
  <c r="AD27" i="7"/>
  <c r="AE27" i="7" s="1" a="1"/>
  <c r="Z35" i="7"/>
  <c r="Y35" i="7"/>
  <c r="AD21" i="7"/>
  <c r="AE21" i="7" s="1" a="1"/>
  <c r="Z21" i="7"/>
  <c r="Y21" i="7"/>
  <c r="Z19" i="7"/>
  <c r="AD20" i="7"/>
  <c r="AE20" i="7" s="1" a="1"/>
  <c r="Y19" i="7"/>
  <c r="AE5" i="7"/>
  <c r="AF5" i="7" s="1"/>
  <c r="AD29" i="7"/>
  <c r="AE29" i="7" s="1" a="1"/>
  <c r="Z29" i="7"/>
  <c r="Y29" i="7"/>
  <c r="Y28" i="7"/>
  <c r="Z28" i="7"/>
  <c r="AE26" i="7" l="1"/>
  <c r="AF26" i="7" s="1"/>
  <c r="AE31" i="7" a="1"/>
  <c r="AE31" i="7" s="1"/>
  <c r="AF31" i="7" s="1"/>
  <c r="AE38" i="7" a="1"/>
  <c r="AE38" i="7" s="1"/>
  <c r="AF38" i="7" s="1"/>
  <c r="AE14" i="7" a="1"/>
  <c r="AE14" i="7" s="1"/>
  <c r="AF14" i="7" s="1"/>
  <c r="AE24" i="7" a="1"/>
  <c r="AE24" i="7" s="1"/>
  <c r="AF24" i="7" s="1"/>
  <c r="AE6" i="7" a="1"/>
  <c r="AE6" i="7" s="1"/>
  <c r="AF6" i="7" s="1"/>
  <c r="AE9" i="7" a="1"/>
  <c r="AE9" i="7" s="1"/>
  <c r="AF9" i="7" s="1"/>
  <c r="AE39" i="7" a="1"/>
  <c r="AE39" i="7" s="1"/>
  <c r="AF39" i="7" s="1"/>
  <c r="AE34" i="7" a="1"/>
  <c r="AE34" i="7" s="1"/>
  <c r="AF34" i="7" s="1"/>
  <c r="AE41" i="7" a="1"/>
  <c r="AE41" i="7" s="1"/>
  <c r="AF41" i="7" s="1"/>
  <c r="AE25" i="7" a="1"/>
  <c r="AE25" i="7" s="1"/>
  <c r="AF25" i="7" s="1"/>
  <c r="AE32" i="7" a="1"/>
  <c r="AE32" i="7" s="1"/>
  <c r="AF32" i="7" s="1"/>
  <c r="AE37" i="7" a="1"/>
  <c r="AE37" i="7" s="1"/>
  <c r="AF37" i="7" s="1"/>
  <c r="AE36" i="7" a="1"/>
  <c r="AE36" i="7" s="1"/>
  <c r="AF36" i="7" s="1"/>
  <c r="AE28" i="7"/>
  <c r="AF28" i="7" s="1"/>
  <c r="AE20" i="7"/>
  <c r="AF20" i="7" s="1"/>
  <c r="AE23" i="7"/>
  <c r="AF23" i="7" s="1"/>
  <c r="AE27" i="7"/>
  <c r="AF27" i="7" s="1"/>
  <c r="AE17" i="7"/>
  <c r="AF17" i="7" s="1"/>
  <c r="AE8" i="7"/>
  <c r="AF8" i="7" s="1"/>
  <c r="AE21" i="7"/>
  <c r="AF21" i="7" s="1"/>
  <c r="AE35" i="7"/>
  <c r="AF35" i="7" s="1"/>
  <c r="AE18" i="7"/>
  <c r="AF18" i="7" s="1"/>
  <c r="AE40" i="7"/>
  <c r="AF40" i="7" s="1"/>
  <c r="AE29" i="7"/>
  <c r="AF29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<sst xmlns="http://schemas.openxmlformats.org/spreadsheetml/2006/main" count="319" uniqueCount="167">
  <si>
    <t>Área de Ensaio</t>
  </si>
  <si>
    <t>1ª avaliação</t>
  </si>
  <si>
    <t>2ª avaliação</t>
  </si>
  <si>
    <t>Média inicial</t>
  </si>
  <si>
    <t>Limite inferior (0,9*média)</t>
  </si>
  <si>
    <t>Limite superior (1,1*média)</t>
  </si>
  <si>
    <t>Média Final</t>
  </si>
  <si>
    <t>Limite superior da 1ª avaliação</t>
  </si>
  <si>
    <t>Limite inferior da 2ª avaliação</t>
  </si>
  <si>
    <t>Limite superior da 2ª avaliação</t>
  </si>
  <si>
    <t>ES-01 (túnel de descarga-PT05)</t>
  </si>
  <si>
    <t>ES-02 (túnel de descarga-PT03)</t>
  </si>
  <si>
    <t>ES-03 (túnel de descarga-PT06)</t>
  </si>
  <si>
    <t>ES-04 (estaca 71-N)</t>
  </si>
  <si>
    <t>ES-05 (estaca 71-O)</t>
  </si>
  <si>
    <t>ES-06 (estaca 71-S)</t>
  </si>
  <si>
    <t>ES-07 (estaca 71-L)</t>
  </si>
  <si>
    <t>ES-08 (estaca 60-N)</t>
  </si>
  <si>
    <t>ES-09 (estaca 60-O)</t>
  </si>
  <si>
    <t>ES-10 (estaca 60-S)</t>
  </si>
  <si>
    <t>ES-11 (estaca 60-L)</t>
  </si>
  <si>
    <t>ES-12 (estaca 44-N)</t>
  </si>
  <si>
    <t>ES-13 (estaca 44-O)</t>
  </si>
  <si>
    <t>ES-14 (estaca 44-S)</t>
  </si>
  <si>
    <t>ES-15 (estaca 44-L)</t>
  </si>
  <si>
    <t>ES-16 (estaca 24-N)</t>
  </si>
  <si>
    <t>ES-17 (estaca 24-S)</t>
  </si>
  <si>
    <t>ES-18 (estaca 24-L)</t>
  </si>
  <si>
    <t>ES-19 (capitel estaca 71-N)</t>
  </si>
  <si>
    <t>ES-20 (capitel estaca 71-S)</t>
  </si>
  <si>
    <t>ES-21 (capitel estaca 60-N)</t>
  </si>
  <si>
    <t>ES-22 (fundo da laje-PLE 02)</t>
  </si>
  <si>
    <t>Column1</t>
  </si>
  <si>
    <t>Column1.1</t>
  </si>
  <si>
    <t>Column1.2</t>
  </si>
  <si>
    <t>ES-01</t>
  </si>
  <si>
    <t>(túnel de descarga-PT05)</t>
  </si>
  <si>
    <t>ES-02</t>
  </si>
  <si>
    <t>(túnel de descarga-PT03)</t>
  </si>
  <si>
    <t>ES-03</t>
  </si>
  <si>
    <t>(túnel de descarga-PT06)</t>
  </si>
  <si>
    <t>ES-04</t>
  </si>
  <si>
    <t>(estaca 71-N)</t>
  </si>
  <si>
    <t>ES-05</t>
  </si>
  <si>
    <t>(estaca 71-O)</t>
  </si>
  <si>
    <t>ES-06</t>
  </si>
  <si>
    <t>(estaca 71-S)</t>
  </si>
  <si>
    <t>ES-07</t>
  </si>
  <si>
    <t>(estaca 71-L)</t>
  </si>
  <si>
    <t>ES-08</t>
  </si>
  <si>
    <t>(estaca 60-N)</t>
  </si>
  <si>
    <t>ES-09</t>
  </si>
  <si>
    <t>(estaca 60-O)</t>
  </si>
  <si>
    <t>ES-10</t>
  </si>
  <si>
    <t>(estaca 60-S)</t>
  </si>
  <si>
    <t>ES-11</t>
  </si>
  <si>
    <t>(estaca 60-L)</t>
  </si>
  <si>
    <t>ES-12</t>
  </si>
  <si>
    <t>(estaca 44-N)</t>
  </si>
  <si>
    <t>ES-13</t>
  </si>
  <si>
    <t>(estaca 44-O)</t>
  </si>
  <si>
    <t>ES-14</t>
  </si>
  <si>
    <t>(estaca 44-S)</t>
  </si>
  <si>
    <t>ES-15</t>
  </si>
  <si>
    <t>(estaca 44-L)</t>
  </si>
  <si>
    <t>ES-16</t>
  </si>
  <si>
    <t>(estaca 24-N)</t>
  </si>
  <si>
    <t>ES-17</t>
  </si>
  <si>
    <t>(estaca 24-S)</t>
  </si>
  <si>
    <t>ES-18</t>
  </si>
  <si>
    <t>(estaca 24-L)</t>
  </si>
  <si>
    <t>ES-19</t>
  </si>
  <si>
    <t>(capitel estaca 71-N)</t>
  </si>
  <si>
    <t>ES-20</t>
  </si>
  <si>
    <t>(capitel estaca 71-S)</t>
  </si>
  <si>
    <t>ES-21</t>
  </si>
  <si>
    <t>(capitel estaca 60-N)</t>
  </si>
  <si>
    <t>ES-22</t>
  </si>
  <si>
    <t>(fundo da laje-PLE 02)</t>
  </si>
  <si>
    <t>túnel de descarga-PT05</t>
  </si>
  <si>
    <t>túnel de descarga-PT03</t>
  </si>
  <si>
    <t>túnel de descarga-PT06</t>
  </si>
  <si>
    <t>estaca 71-N</t>
  </si>
  <si>
    <t>estaca 71-O</t>
  </si>
  <si>
    <t>estaca 71-S</t>
  </si>
  <si>
    <t>estaca 71-L</t>
  </si>
  <si>
    <t>estaca 60-N</t>
  </si>
  <si>
    <t>estaca 60-O</t>
  </si>
  <si>
    <t>estaca 60-S</t>
  </si>
  <si>
    <t>estaca 60-L</t>
  </si>
  <si>
    <t>estaca 44-N</t>
  </si>
  <si>
    <t>estaca 44-O</t>
  </si>
  <si>
    <t>estaca 44-S</t>
  </si>
  <si>
    <t>estaca 44-L</t>
  </si>
  <si>
    <t>estaca 24-N</t>
  </si>
  <si>
    <t>estaca 24-S</t>
  </si>
  <si>
    <t>estaca 24-L</t>
  </si>
  <si>
    <t>capitel estaca 71-N</t>
  </si>
  <si>
    <t>capitel estaca 71-S</t>
  </si>
  <si>
    <t>capitel estaca 60-N</t>
  </si>
  <si>
    <t>fundo da laje-PLE 02</t>
  </si>
  <si>
    <t>EC-01 (estaca 71-N)</t>
  </si>
  <si>
    <t>EC-02 (estaca 71-O)</t>
  </si>
  <si>
    <t>EC-03 (estaca 71-S)</t>
  </si>
  <si>
    <t>EC-04 (estaca 71-L)</t>
  </si>
  <si>
    <t>EC-05 (estaca 60-N)</t>
  </si>
  <si>
    <t>EC-06 (estaca 60-O)</t>
  </si>
  <si>
    <t>EC-07 (estaca 44-N)</t>
  </si>
  <si>
    <t>EC-08 (estaca 24-N)</t>
  </si>
  <si>
    <t>EC-09 (capitel estaca 60-N)</t>
  </si>
  <si>
    <t>EC-10 (capitel estaca 60-L)</t>
  </si>
  <si>
    <t>EC-11 (capitel estaca 71-N)</t>
  </si>
  <si>
    <t>EC-13 (Túnel de descarga-PT05)</t>
  </si>
  <si>
    <t>EC-14 (túnel de descarga-PT03)</t>
  </si>
  <si>
    <t>EC-15 (túnel de descarga-PT06)</t>
  </si>
  <si>
    <t>EC-12 (laje-PLE02)</t>
  </si>
  <si>
    <t>EC-01</t>
  </si>
  <si>
    <t>EC-02</t>
  </si>
  <si>
    <t>EC-03</t>
  </si>
  <si>
    <t>EC-04</t>
  </si>
  <si>
    <t>EC-05</t>
  </si>
  <si>
    <t>EC-06</t>
  </si>
  <si>
    <t>EC-07</t>
  </si>
  <si>
    <t>EC-08</t>
  </si>
  <si>
    <t>EC-09</t>
  </si>
  <si>
    <t>EC-10</t>
  </si>
  <si>
    <t>(capitel estaca 60-L)</t>
  </si>
  <si>
    <t>EC-11</t>
  </si>
  <si>
    <t>EC-12</t>
  </si>
  <si>
    <t>(laje-PLE02)</t>
  </si>
  <si>
    <t>EC-13</t>
  </si>
  <si>
    <t>(Túnel de descarga-PT05)</t>
  </si>
  <si>
    <t>EC-14</t>
  </si>
  <si>
    <t>EC-15</t>
  </si>
  <si>
    <t>capitel estaca 60-L</t>
  </si>
  <si>
    <t>laje-PLE02</t>
  </si>
  <si>
    <t>Túnel de descarga-PT05</t>
  </si>
  <si>
    <t>Índices Esclerométricos</t>
  </si>
  <si>
    <t>Produndidade de carbonatação (mm)</t>
  </si>
  <si>
    <t>limite inferior faixa</t>
  </si>
  <si>
    <t>lmite superior faixa</t>
  </si>
  <si>
    <t>redução em R</t>
  </si>
  <si>
    <t>Redução em R</t>
  </si>
  <si>
    <t>Índice esclerométrico R</t>
  </si>
  <si>
    <t>Índice R corrigido</t>
  </si>
  <si>
    <t>ES-28</t>
  </si>
  <si>
    <t>ES-29</t>
  </si>
  <si>
    <t>ES-30</t>
  </si>
  <si>
    <t>ES-31</t>
  </si>
  <si>
    <t>ES-32</t>
  </si>
  <si>
    <t>ES-33</t>
  </si>
  <si>
    <t>ES-34</t>
  </si>
  <si>
    <t>ES-35</t>
  </si>
  <si>
    <t>ES-36</t>
  </si>
  <si>
    <t>Limite inferior da 1ª avaliação</t>
  </si>
  <si>
    <t>23 a 28</t>
  </si>
  <si>
    <t>28 a 34</t>
  </si>
  <si>
    <t>34 a 50</t>
  </si>
  <si>
    <t>ES-23 (bloco de fundação-CP08)</t>
  </si>
  <si>
    <t>ES-24 (fundo da laje-PLE04)</t>
  </si>
  <si>
    <t>ES-25 (fundo da laje-PLE03)</t>
  </si>
  <si>
    <t>ES-26 (fundo da laje-PLE01)</t>
  </si>
  <si>
    <t>ES-27 (bloco de fundação-CP09)</t>
  </si>
  <si>
    <t>ES-17b (estaca 24-S)</t>
  </si>
  <si>
    <t>ES-16b (estaca 24-N)</t>
  </si>
  <si>
    <t>ES-17a (estaca 24-S)</t>
  </si>
  <si>
    <t>ES-16a (estaca 24-N)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</si>
</sst>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rial"/>
      <family val="2"/>
    </font>
    <font>
      <sz val="9"/>
      <color rgb="FF00B050"/>
      <name val="Arial"/>
      <family val="2"/>
    </font>
    <font>
      <sz val="10"/>
      <color rgb="FF00B050"/>
      <name val="Arial"/>
      <family val="2"/>
    </font>
    <font>
      <sz val="9"/>
      <color theme="1"/>
      <name val="Arial"/>
      <family val="2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D000A8"/>
      </patternFill>
    </fill>
    <fill>
      <patternFill patternType="solid">
        <fgColor rgb="FF00FFFF"/>
        <bgColor rgb="FFD000A8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rgb="FFFF0000"/>
      </patternFill>
    </fill>
    <fill>
      <patternFill patternType="solid">
        <fgColor rgb="FFFF0000"/>
        <bgColor rgb="FFBF9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59">
    <xf numFmtId="0" fontId="0" fillId="0" borderId="0" xfId="0"/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2" fontId="6" fillId="2" borderId="1" xfId="0" applyNumberFormat="1" applyFont="1" applyFill="1" applyBorder="1" applyAlignment="1">
      <alignment horizontal="right" vertical="center"/>
    </xf>
    <xf numFmtId="2" fontId="6" fillId="2" borderId="9" xfId="0" applyNumberFormat="1" applyFont="1" applyFill="1" applyBorder="1" applyAlignment="1">
      <alignment horizontal="right" vertical="center"/>
    </xf>
    <xf numFmtId="2" fontId="4" fillId="0" borderId="5" xfId="0" applyNumberFormat="1" applyFont="1" applyBorder="1" applyAlignment="1">
      <alignment horizontal="right" vertical="center"/>
    </xf>
    <xf numFmtId="2" fontId="4" fillId="0" borderId="6" xfId="0" applyNumberFormat="1" applyFont="1" applyBorder="1" applyAlignment="1">
      <alignment horizontal="righ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2" fontId="6" fillId="2" borderId="17" xfId="0" applyNumberFormat="1" applyFont="1" applyFill="1" applyBorder="1" applyAlignment="1">
      <alignment horizontal="right" vertical="center"/>
    </xf>
    <xf numFmtId="2" fontId="4" fillId="0" borderId="7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0" fillId="0" borderId="20" xfId="0" applyBorder="1"/>
    <xf numFmtId="0" fontId="2" fillId="0" borderId="21" xfId="0" applyFont="1" applyBorder="1" applyAlignment="1">
      <alignment vertical="center"/>
    </xf>
    <xf numFmtId="0" fontId="0" fillId="0" borderId="22" xfId="0" applyBorder="1"/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9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11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/>
    </xf>
    <xf numFmtId="9" fontId="0" fillId="0" borderId="20" xfId="0" applyNumberFormat="1" applyBorder="1"/>
    <xf numFmtId="11" fontId="0" fillId="0" borderId="0" xfId="0" applyNumberFormat="1"/>
    <xf numFmtId="0" fontId="10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2" fontId="0" fillId="0" borderId="20" xfId="0" applyNumberFormat="1" applyBorder="1" applyAlignment="1">
      <alignment horizontal="center"/>
    </xf>
    <xf numFmtId="0" fontId="0" fillId="0" borderId="27" xfId="0" applyBorder="1"/>
    <xf numFmtId="2" fontId="0" fillId="0" borderId="27" xfId="0" applyNumberFormat="1" applyBorder="1" applyAlignment="1">
      <alignment horizontal="center"/>
    </xf>
    <xf numFmtId="0" fontId="4" fillId="0" borderId="2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9" fontId="0" fillId="0" borderId="27" xfId="1" applyFon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8" fillId="0" borderId="20" xfId="0" applyFont="1" applyBorder="1"/>
    <xf numFmtId="2" fontId="8" fillId="0" borderId="20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/>
    <xf numFmtId="2" fontId="8" fillId="0" borderId="0" xfId="0" applyNumberFormat="1" applyFont="1" applyAlignment="1">
      <alignment horizontal="center"/>
    </xf>
    <xf numFmtId="9" fontId="8" fillId="0" borderId="0" xfId="1" applyFont="1" applyBorder="1" applyAlignment="1">
      <alignment horizont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2" fontId="6" fillId="5" borderId="18" xfId="0" applyNumberFormat="1" applyFont="1" applyFill="1" applyBorder="1" applyAlignment="1">
      <alignment horizontal="right" vertical="center"/>
    </xf>
    <xf numFmtId="2" fontId="6" fillId="5" borderId="8" xfId="0" applyNumberFormat="1" applyFont="1" applyFill="1" applyBorder="1" applyAlignment="1">
      <alignment horizontal="right" vertical="center"/>
    </xf>
    <xf numFmtId="2" fontId="6" fillId="5" borderId="10" xfId="0" applyNumberFormat="1" applyFont="1" applyFill="1" applyBorder="1" applyAlignment="1">
      <alignment horizontal="right" vertical="center"/>
    </xf>
    <xf numFmtId="2" fontId="5" fillId="6" borderId="17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2" fontId="5" fillId="6" borderId="9" xfId="0" applyNumberFormat="1" applyFont="1" applyFill="1" applyBorder="1" applyAlignment="1">
      <alignment horizontal="right" vertical="center"/>
    </xf>
    <xf numFmtId="2" fontId="6" fillId="7" borderId="18" xfId="0" applyNumberFormat="1" applyFont="1" applyFill="1" applyBorder="1" applyAlignment="1">
      <alignment horizontal="right" vertical="center"/>
    </xf>
    <xf numFmtId="2" fontId="6" fillId="7" borderId="8" xfId="0" applyNumberFormat="1" applyFont="1" applyFill="1" applyBorder="1" applyAlignment="1">
      <alignment horizontal="right" vertical="center"/>
    </xf>
    <xf numFmtId="2" fontId="6" fillId="7" borderId="10" xfId="0" applyNumberFormat="1" applyFont="1" applyFill="1" applyBorder="1" applyAlignment="1">
      <alignment horizontal="right" vertical="center"/>
    </xf>
    <xf numFmtId="0" fontId="2" fillId="8" borderId="15" xfId="0" applyFont="1" applyFill="1" applyBorder="1"/>
    <xf numFmtId="0" fontId="2" fillId="5" borderId="15" xfId="0" applyFont="1" applyFill="1" applyBorder="1"/>
    <xf numFmtId="0" fontId="1" fillId="7" borderId="16" xfId="0" applyFont="1" applyFill="1" applyBorder="1"/>
    <xf numFmtId="0" fontId="6" fillId="0" borderId="13" xfId="0" applyFont="1" applyBorder="1" applyAlignment="1">
      <alignment horizontal="left" vertical="center"/>
    </xf>
    <xf numFmtId="0" fontId="2" fillId="4" borderId="13" xfId="0" applyFont="1" applyFill="1" applyBorder="1"/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165" fontId="6" fillId="0" borderId="35" xfId="0" applyNumberFormat="1" applyFont="1" applyBorder="1" applyAlignment="1">
      <alignment horizontal="right" vertical="center"/>
    </xf>
    <xf numFmtId="165" fontId="6" fillId="0" borderId="36" xfId="0" applyNumberFormat="1" applyFont="1" applyBorder="1" applyAlignment="1">
      <alignment horizontal="right" vertical="center"/>
    </xf>
    <xf numFmtId="165" fontId="6" fillId="0" borderId="37" xfId="0" applyNumberFormat="1" applyFont="1" applyBorder="1" applyAlignment="1">
      <alignment horizontal="right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9" fontId="6" fillId="0" borderId="41" xfId="0" applyNumberFormat="1" applyFont="1" applyBorder="1" applyAlignment="1">
      <alignment horizontal="center" vertical="center" wrapText="1"/>
    </xf>
    <xf numFmtId="9" fontId="6" fillId="0" borderId="42" xfId="0" applyNumberFormat="1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9" fontId="0" fillId="0" borderId="0" xfId="1" applyFont="1"/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166" fontId="0" fillId="0" borderId="0" xfId="1" applyNumberFormat="1" applyFont="1"/>
    <xf numFmtId="1" fontId="0" fillId="0" borderId="0" xfId="0" applyNumberFormat="1"/>
    <xf numFmtId="0" fontId="6" fillId="0" borderId="45" xfId="0" applyFont="1" applyBorder="1" applyAlignment="1">
      <alignment horizontal="left" vertical="center"/>
    </xf>
    <xf numFmtId="0" fontId="6" fillId="0" borderId="4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left" vertical="center"/>
    </xf>
    <xf numFmtId="165" fontId="6" fillId="0" borderId="49" xfId="0" applyNumberFormat="1" applyFont="1" applyBorder="1" applyAlignment="1">
      <alignment horizontal="right" vertical="center"/>
    </xf>
    <xf numFmtId="2" fontId="6" fillId="2" borderId="50" xfId="0" applyNumberFormat="1" applyFont="1" applyFill="1" applyBorder="1" applyAlignment="1">
      <alignment horizontal="right" vertical="center"/>
    </xf>
    <xf numFmtId="2" fontId="6" fillId="5" borderId="51" xfId="0" applyNumberFormat="1" applyFont="1" applyFill="1" applyBorder="1" applyAlignment="1">
      <alignment horizontal="right" vertical="center"/>
    </xf>
    <xf numFmtId="2" fontId="4" fillId="0" borderId="52" xfId="0" applyNumberFormat="1" applyFont="1" applyBorder="1" applyAlignment="1">
      <alignment horizontal="right" vertical="center"/>
    </xf>
    <xf numFmtId="2" fontId="5" fillId="6" borderId="50" xfId="0" applyNumberFormat="1" applyFont="1" applyFill="1" applyBorder="1" applyAlignment="1">
      <alignment horizontal="right" vertical="center"/>
    </xf>
    <xf numFmtId="2" fontId="6" fillId="7" borderId="51" xfId="0" applyNumberFormat="1" applyFont="1" applyFill="1" applyBorder="1" applyAlignment="1">
      <alignment horizontal="right" vertical="center"/>
    </xf>
    <xf numFmtId="0" fontId="4" fillId="9" borderId="38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9" borderId="40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6" fillId="10" borderId="48" xfId="0" applyFont="1" applyFill="1" applyBorder="1" applyAlignment="1">
      <alignment horizontal="left" vertical="center"/>
    </xf>
    <xf numFmtId="0" fontId="6" fillId="10" borderId="45" xfId="0" applyFont="1" applyFill="1" applyBorder="1" applyAlignment="1">
      <alignment horizontal="left" vertical="center"/>
    </xf>
    <xf numFmtId="0" fontId="6" fillId="10" borderId="16" xfId="0" applyFont="1" applyFill="1" applyBorder="1" applyAlignment="1">
      <alignment horizontal="left" vertical="center"/>
    </xf>
    <xf numFmtId="2" fontId="6" fillId="2" borderId="17" xfId="0" applyNumberFormat="1" applyFont="1" applyFill="1" applyBorder="1" applyAlignment="1">
      <alignment horizontal="center" vertical="center"/>
    </xf>
    <xf numFmtId="2" fontId="6" fillId="5" borderId="18" xfId="0" applyNumberFormat="1" applyFont="1" applyFill="1" applyBorder="1" applyAlignment="1">
      <alignment horizontal="center" vertical="center"/>
    </xf>
    <xf numFmtId="2" fontId="5" fillId="6" borderId="17" xfId="0" applyNumberFormat="1" applyFont="1" applyFill="1" applyBorder="1" applyAlignment="1">
      <alignment horizontal="center" vertical="center"/>
    </xf>
    <xf numFmtId="2" fontId="6" fillId="7" borderId="18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5" borderId="8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6" fillId="7" borderId="8" xfId="0" applyNumberFormat="1" applyFont="1" applyFill="1" applyBorder="1" applyAlignment="1">
      <alignment horizontal="center" vertical="center"/>
    </xf>
    <xf numFmtId="2" fontId="6" fillId="2" borderId="50" xfId="0" applyNumberFormat="1" applyFont="1" applyFill="1" applyBorder="1" applyAlignment="1">
      <alignment horizontal="center" vertical="center"/>
    </xf>
    <xf numFmtId="2" fontId="6" fillId="5" borderId="51" xfId="0" applyNumberFormat="1" applyFont="1" applyFill="1" applyBorder="1" applyAlignment="1">
      <alignment horizontal="center" vertical="center"/>
    </xf>
    <xf numFmtId="2" fontId="5" fillId="6" borderId="50" xfId="0" applyNumberFormat="1" applyFont="1" applyFill="1" applyBorder="1" applyAlignment="1">
      <alignment horizontal="center" vertical="center"/>
    </xf>
    <xf numFmtId="2" fontId="6" fillId="7" borderId="51" xfId="0" applyNumberFormat="1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2" fontId="6" fillId="5" borderId="10" xfId="0" applyNumberFormat="1" applyFont="1" applyFill="1" applyBorder="1" applyAlignment="1">
      <alignment horizontal="center" vertical="center"/>
    </xf>
    <xf numFmtId="2" fontId="5" fillId="6" borderId="9" xfId="0" applyNumberFormat="1" applyFont="1" applyFill="1" applyBorder="1" applyAlignment="1">
      <alignment horizontal="center" vertical="center"/>
    </xf>
    <xf numFmtId="2" fontId="6" fillId="7" borderId="10" xfId="0" applyNumberFormat="1" applyFont="1" applyFill="1" applyBorder="1" applyAlignment="1">
      <alignment horizontal="center" vertical="center"/>
    </xf>
    <xf numFmtId="0" fontId="6" fillId="11" borderId="32" xfId="0" applyFont="1" applyFill="1" applyBorder="1" applyAlignment="1">
      <alignment horizontal="center" vertical="center"/>
    </xf>
    <xf numFmtId="0" fontId="6" fillId="11" borderId="33" xfId="0" applyFont="1" applyFill="1" applyBorder="1" applyAlignment="1">
      <alignment horizontal="center" vertical="center"/>
    </xf>
    <xf numFmtId="0" fontId="6" fillId="11" borderId="34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6" fillId="11" borderId="23" xfId="0" applyFont="1" applyFill="1" applyBorder="1" applyAlignment="1">
      <alignment horizontal="center" vertical="center"/>
    </xf>
    <xf numFmtId="0" fontId="6" fillId="11" borderId="24" xfId="0" applyFont="1" applyFill="1" applyBorder="1" applyAlignment="1">
      <alignment horizontal="center" vertical="center"/>
    </xf>
    <xf numFmtId="0" fontId="6" fillId="11" borderId="25" xfId="0" applyFont="1" applyFill="1" applyBorder="1" applyAlignment="1">
      <alignment horizontal="center" vertical="center"/>
    </xf>
    <xf numFmtId="2" fontId="6" fillId="11" borderId="35" xfId="0" applyNumberFormat="1" applyFont="1" applyFill="1" applyBorder="1" applyAlignment="1">
      <alignment horizontal="center" vertical="center"/>
    </xf>
    <xf numFmtId="2" fontId="6" fillId="11" borderId="36" xfId="0" applyNumberFormat="1" applyFont="1" applyFill="1" applyBorder="1" applyAlignment="1">
      <alignment horizontal="center" vertical="center"/>
    </xf>
    <xf numFmtId="2" fontId="6" fillId="11" borderId="49" xfId="0" applyNumberFormat="1" applyFont="1" applyFill="1" applyBorder="1" applyAlignment="1">
      <alignment horizontal="center" vertical="center"/>
    </xf>
    <xf numFmtId="2" fontId="6" fillId="11" borderId="37" xfId="0" applyNumberFormat="1" applyFont="1" applyFill="1" applyBorder="1" applyAlignment="1">
      <alignment horizontal="center" vertical="center"/>
    </xf>
    <xf numFmtId="2" fontId="4" fillId="11" borderId="7" xfId="0" applyNumberFormat="1" applyFont="1" applyFill="1" applyBorder="1" applyAlignment="1">
      <alignment horizontal="center" vertical="center"/>
    </xf>
    <xf numFmtId="2" fontId="4" fillId="11" borderId="5" xfId="0" applyNumberFormat="1" applyFont="1" applyFill="1" applyBorder="1" applyAlignment="1">
      <alignment horizontal="center" vertical="center"/>
    </xf>
    <xf numFmtId="2" fontId="4" fillId="11" borderId="52" xfId="0" applyNumberFormat="1" applyFont="1" applyFill="1" applyBorder="1" applyAlignment="1">
      <alignment horizontal="center" vertical="center"/>
    </xf>
    <xf numFmtId="2" fontId="4" fillId="11" borderId="6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9" xfId="0" applyFont="1" applyBorder="1"/>
    <xf numFmtId="0" fontId="4" fillId="0" borderId="13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9" borderId="14" xfId="0" applyFont="1" applyFill="1" applyBorder="1" applyAlignment="1">
      <alignment horizontal="center" vertical="center"/>
    </xf>
    <xf numFmtId="0" fontId="5" fillId="9" borderId="19" xfId="0" applyFont="1" applyFill="1" applyBorder="1"/>
    <xf numFmtId="0" fontId="4" fillId="9" borderId="13" xfId="0" applyFont="1" applyFill="1" applyBorder="1" applyAlignment="1">
      <alignment horizontal="center" vertical="center"/>
    </xf>
    <xf numFmtId="0" fontId="5" fillId="9" borderId="3" xfId="0" applyFont="1" applyFill="1" applyBorder="1"/>
    <xf numFmtId="0" fontId="5" fillId="9" borderId="4" xfId="0" applyFont="1" applyFill="1" applyBorder="1"/>
  </cellXfs>
  <cellStyles count="2">
    <cellStyle name="Normal" xfId="0" builtinId="0"/>
    <cellStyle name="Percent" xfId="1" builtinId="5"/>
  </cellStyles>
  <dxfs count="26">
    <dxf>
      <fill>
        <patternFill>
          <fgColor rgb="FFFF00FF"/>
          <bgColor rgb="FF00FFFF"/>
        </patternFill>
      </fill>
    </dxf>
    <dxf>
      <fill>
        <patternFill patternType="solid">
          <fgColor auto="1"/>
          <bgColor rgb="FFFF00FF"/>
        </patternFill>
      </fill>
    </dxf>
    <dxf>
      <fill>
        <patternFill patternType="solid">
          <fgColor auto="1"/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fgColor rgb="FFFF00FF"/>
          <bgColor rgb="FF00FFFF"/>
        </patternFill>
      </fill>
    </dxf>
    <dxf>
      <fill>
        <patternFill patternType="solid">
          <fgColor auto="1"/>
          <bgColor rgb="FFFF00FF"/>
        </patternFill>
      </fill>
    </dxf>
    <dxf>
      <fill>
        <patternFill patternType="solid">
          <fgColor auto="1"/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thin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FF"/>
      <color rgb="FF00FFFF"/>
      <color rgb="FFFF0000"/>
      <color rgb="FFFFFF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-90º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'Sheet1 (2)'!$U$23:$U$28</c:f>
              <c:numCache>
                <c:formatCode>General</c:formatCode>
                <c:ptCount val="6"/>
                <c:pt idx="0">
                  <c:v>26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</c:numCache>
            </c:numRef>
          </c:xVal>
          <c:yVal>
            <c:numRef>
              <c:f>'Sheet1 (2)'!$V$23:$V$28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22</c:v>
                </c:pt>
                <c:pt idx="3">
                  <c:v>29</c:v>
                </c:pt>
                <c:pt idx="4">
                  <c:v>36</c:v>
                </c:pt>
                <c:pt idx="5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CD-4058-B15C-85F08D74D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05408"/>
        <c:axId val="1658903968"/>
      </c:scatterChart>
      <c:valAx>
        <c:axId val="16589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903968"/>
        <c:crosses val="autoZero"/>
        <c:crossBetween val="midCat"/>
      </c:valAx>
      <c:valAx>
        <c:axId val="165890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9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0º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'Sheet1 (2)'!$Q$23:$Q$28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</c:numCache>
            </c:numRef>
          </c:xVal>
          <c:yVal>
            <c:numRef>
              <c:f>'Sheet1 (2)'!$R$23:$R$28</c:f>
              <c:numCache>
                <c:formatCode>General</c:formatCode>
                <c:ptCount val="6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2E-442F-8C5E-D461A1213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4672"/>
        <c:axId val="4753712"/>
      </c:scatterChart>
      <c:valAx>
        <c:axId val="47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3712"/>
        <c:crosses val="autoZero"/>
        <c:crossBetween val="midCat"/>
      </c:valAx>
      <c:valAx>
        <c:axId val="47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-90º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'Sheet1 (2)'!$U$23:$U$28</c:f>
              <c:numCache>
                <c:formatCode>General</c:formatCode>
                <c:ptCount val="6"/>
                <c:pt idx="0">
                  <c:v>26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</c:numCache>
            </c:numRef>
          </c:xVal>
          <c:yVal>
            <c:numRef>
              <c:f>'Sheet1 (2)'!$V$23:$V$28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22</c:v>
                </c:pt>
                <c:pt idx="3">
                  <c:v>29</c:v>
                </c:pt>
                <c:pt idx="4">
                  <c:v>36</c:v>
                </c:pt>
                <c:pt idx="5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BE-4190-93D7-CD2BF0CFE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05408"/>
        <c:axId val="1658903968"/>
      </c:scatterChart>
      <c:valAx>
        <c:axId val="16589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903968"/>
        <c:crosses val="autoZero"/>
        <c:crossBetween val="midCat"/>
      </c:valAx>
      <c:valAx>
        <c:axId val="165890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9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0º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'Sheet1 (2)'!$Q$23:$Q$28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</c:numCache>
            </c:numRef>
          </c:xVal>
          <c:yVal>
            <c:numRef>
              <c:f>'Sheet1 (2)'!$R$23:$R$28</c:f>
              <c:numCache>
                <c:formatCode>General</c:formatCode>
                <c:ptCount val="6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D1-4ACD-8102-6A325DFB5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4672"/>
        <c:axId val="4753712"/>
      </c:scatterChart>
      <c:valAx>
        <c:axId val="47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3712"/>
        <c:crosses val="autoZero"/>
        <c:crossBetween val="midCat"/>
      </c:valAx>
      <c:valAx>
        <c:axId val="47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488157</xdr:colOff>
      <xdr:row>51</xdr:row>
      <xdr:rowOff>119063</xdr:rowOff>
    </xdr:from>
    <xdr:to>
      <xdr:col>32</xdr:col>
      <xdr:colOff>664528</xdr:colOff>
      <xdr:row>74</xdr:row>
      <xdr:rowOff>59215</xdr:rowOff>
    </xdr:to>
    <xdr:pic>
      <xdr:nvPicPr>
        <xdr:cNvPr id="2" name="image32.png" descr="A graph of a graph&#10;&#10;AI-generated content may be incorrect.">
          <a:extLst>
            <a:ext uri="{FF2B5EF4-FFF2-40B4-BE49-F238E27FC236}">
              <a16:creationId xmlns:a16="http://schemas.microsoft.com/office/drawing/2014/main" id="{96349ACD-EEDD-446A-A7AA-E5D0BBE694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878652" y="9760268"/>
          <a:ext cx="5889466" cy="3738721"/>
        </a:xfrm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 editAs="oneCell">
    <xdr:from>
      <xdr:col>38</xdr:col>
      <xdr:colOff>371475</xdr:colOff>
      <xdr:row>2</xdr:row>
      <xdr:rowOff>0</xdr:rowOff>
    </xdr:from>
    <xdr:to>
      <xdr:col>45</xdr:col>
      <xdr:colOff>588982</xdr:colOff>
      <xdr:row>14</xdr:row>
      <xdr:rowOff>135571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454D3F-A85A-4E33-B53B-922C4D2F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04563" y="403412"/>
          <a:ext cx="4464762" cy="2847618"/>
        </a:xfrm>
        <a:prstGeom prst="rect">
          <a:avLst/>
        </a:prstGeom>
      </xdr:spPr>
    </xdr:pic>
    <xdr:clientData/>
  </xdr:twoCellAnchor>
  <xdr:twoCellAnchor>
    <xdr:from>
      <xdr:col>48</xdr:col>
      <xdr:colOff>330573</xdr:colOff>
      <xdr:row>8</xdr:row>
      <xdr:rowOff>135928</xdr:rowOff>
    </xdr:from>
    <xdr:to>
      <xdr:col>56</xdr:col>
      <xdr:colOff>61632</xdr:colOff>
      <xdr:row>23</xdr:row>
      <xdr:rowOff>12103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3147B5-3465-40A4-AA0E-E544228DF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16</xdr:row>
      <xdr:rowOff>134023</xdr:rowOff>
    </xdr:from>
    <xdr:to>
      <xdr:col>45</xdr:col>
      <xdr:colOff>336176</xdr:colOff>
      <xdr:row>31</xdr:row>
      <xdr:rowOff>673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5D0D41-BA56-4F40-BBE5-EA6BBFA07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7620</xdr:colOff>
      <xdr:row>3</xdr:row>
      <xdr:rowOff>182880</xdr:rowOff>
    </xdr:from>
    <xdr:to>
      <xdr:col>22</xdr:col>
      <xdr:colOff>210897</xdr:colOff>
      <xdr:row>18</xdr:row>
      <xdr:rowOff>174903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F6DFB-64E9-4962-8948-1013F44B8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3525" y="742950"/>
          <a:ext cx="4468572" cy="2857143"/>
        </a:xfrm>
        <a:prstGeom prst="rect">
          <a:avLst/>
        </a:prstGeom>
      </xdr:spPr>
    </xdr:pic>
    <xdr:clientData/>
  </xdr:twoCellAnchor>
  <xdr:twoCellAnchor>
    <xdr:from>
      <xdr:col>24</xdr:col>
      <xdr:colOff>533400</xdr:colOff>
      <xdr:row>12</xdr:row>
      <xdr:rowOff>158115</xdr:rowOff>
    </xdr:from>
    <xdr:to>
      <xdr:col>32</xdr:col>
      <xdr:colOff>228600</xdr:colOff>
      <xdr:row>27</xdr:row>
      <xdr:rowOff>43815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928558-140A-477F-98E9-429F87968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251460</xdr:colOff>
      <xdr:row>20</xdr:row>
      <xdr:rowOff>156210</xdr:rowOff>
    </xdr:from>
    <xdr:to>
      <xdr:col>21</xdr:col>
      <xdr:colOff>556260</xdr:colOff>
      <xdr:row>35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A8B6C0-EAE7-4EDF-81B4-771CF7F58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.1" tableColumnId="1"/>
      <queryTableField id="2" name="Column1.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1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.1" tableColumnId="1"/>
      <queryTableField id="2" name="Column1.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66D7DB-DA2E-4D8F-8C34-99F222C4BB1E}" name="Table1_1" displayName="Table1_1" ref="A1:B23" tableType="queryTable" totalsRowShown="0">
  <autoFilter ref="A1:B23" xr:uid="{FC66D7DB-DA2E-4D8F-8C34-99F222C4BB1E}"/>
  <tableColumns count="2">
    <tableColumn id="1" xr3:uid="{F67996AE-B5AA-4511-824F-9F8D87C7499F}" uniqueName="1" name="Column1.1" queryTableFieldId="1" dataDxfId="25"/>
    <tableColumn id="2" xr3:uid="{588E98BD-EAF9-4C3F-ACBF-ACC2815CF961}" uniqueName="2" name="Column1.2" queryTableFieldId="2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C4AA32-3D01-4D85-9182-CDD8458B88BA}" name="Table3_1" displayName="Table3_1" ref="A1:B16" tableType="queryTable" totalsRowShown="0">
  <autoFilter ref="A1:B16" xr:uid="{29C4AA32-3D01-4D85-9182-CDD8458B88BA}"/>
  <tableColumns count="2">
    <tableColumn id="1" xr3:uid="{CE41861B-D752-44DA-949C-CA1A2512741C}" uniqueName="1" name="Column1.1" queryTableFieldId="1" dataDxfId="23"/>
    <tableColumn id="2" xr3:uid="{712BC0AD-491A-4032-BEA9-600C2391288B}" uniqueName="2" name="Column1.2" queryTableFieldId="2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62AFB2-06E0-40CD-9CF7-D2F2A1E4B577}" name="Table16" displayName="Table16" ref="C10:C32" totalsRowShown="0" headerRowDxfId="21" dataDxfId="19" headerRowBorderDxfId="20" tableBorderDxfId="18" totalsRowBorderDxfId="17">
  <autoFilter ref="C10:C32" xr:uid="{8F41FC0A-453A-4D88-88E4-073870C59077}"/>
  <tableColumns count="1">
    <tableColumn id="1" xr3:uid="{888EF078-2474-4FAB-99ED-B1B301B4528B}" name="Column1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2AB461-950D-429F-A35F-0082BBBCBD5B}" name="Table37" displayName="Table37" ref="K35:K50" totalsRowShown="0">
  <autoFilter ref="K35:K50" xr:uid="{EE9F4C9A-36F5-4D27-998E-2A139F41F97D}"/>
  <tableColumns count="1">
    <tableColumn id="1" xr3:uid="{1A9CAEEA-FF5C-4CDD-9E65-FB8C136929A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4236-25A2-4286-8C33-1F03755EC4D7}">
  <dimension ref="A1:B23"/>
  <sheetViews>
    <sheetView workbookViewId="0">
      <selection activeCell="A23" sqref="A23"/>
    </sheetView>
  </sheetViews>
  <sheetFormatPr defaultRowHeight="14.4" x14ac:dyDescent="0.3"/>
  <cols>
    <col min="1" max="1" width="12.33203125" bestFit="1" customWidth="1"/>
    <col min="2" max="2" width="21.109375" bestFit="1" customWidth="1"/>
  </cols>
  <sheetData>
    <row r="1" spans="1:2" x14ac:dyDescent="0.3">
      <c r="A1" t="s">
        <v>33</v>
      </c>
      <c r="B1" t="s">
        <v>34</v>
      </c>
    </row>
    <row r="2" spans="1:2" x14ac:dyDescent="0.3">
      <c r="A2" t="s">
        <v>35</v>
      </c>
      <c r="B2" t="s">
        <v>36</v>
      </c>
    </row>
    <row r="3" spans="1:2" x14ac:dyDescent="0.3">
      <c r="A3" t="s">
        <v>37</v>
      </c>
      <c r="B3" t="s">
        <v>38</v>
      </c>
    </row>
    <row r="4" spans="1:2" x14ac:dyDescent="0.3">
      <c r="A4" t="s">
        <v>39</v>
      </c>
      <c r="B4" t="s">
        <v>40</v>
      </c>
    </row>
    <row r="5" spans="1:2" x14ac:dyDescent="0.3">
      <c r="A5" t="s">
        <v>41</v>
      </c>
      <c r="B5" t="s">
        <v>42</v>
      </c>
    </row>
    <row r="6" spans="1:2" x14ac:dyDescent="0.3">
      <c r="A6" t="s">
        <v>43</v>
      </c>
      <c r="B6" t="s">
        <v>44</v>
      </c>
    </row>
    <row r="7" spans="1:2" x14ac:dyDescent="0.3">
      <c r="A7" t="s">
        <v>45</v>
      </c>
      <c r="B7" t="s">
        <v>46</v>
      </c>
    </row>
    <row r="8" spans="1:2" x14ac:dyDescent="0.3">
      <c r="A8" t="s">
        <v>47</v>
      </c>
      <c r="B8" t="s">
        <v>48</v>
      </c>
    </row>
    <row r="9" spans="1:2" x14ac:dyDescent="0.3">
      <c r="A9" t="s">
        <v>49</v>
      </c>
      <c r="B9" t="s">
        <v>50</v>
      </c>
    </row>
    <row r="10" spans="1:2" x14ac:dyDescent="0.3">
      <c r="A10" t="s">
        <v>51</v>
      </c>
      <c r="B10" t="s">
        <v>52</v>
      </c>
    </row>
    <row r="11" spans="1:2" x14ac:dyDescent="0.3">
      <c r="A11" t="s">
        <v>53</v>
      </c>
      <c r="B11" t="s">
        <v>54</v>
      </c>
    </row>
    <row r="12" spans="1:2" x14ac:dyDescent="0.3">
      <c r="A12" t="s">
        <v>55</v>
      </c>
      <c r="B12" t="s">
        <v>56</v>
      </c>
    </row>
    <row r="13" spans="1:2" x14ac:dyDescent="0.3">
      <c r="A13" t="s">
        <v>57</v>
      </c>
      <c r="B13" t="s">
        <v>58</v>
      </c>
    </row>
    <row r="14" spans="1:2" x14ac:dyDescent="0.3">
      <c r="A14" t="s">
        <v>59</v>
      </c>
      <c r="B14" t="s">
        <v>60</v>
      </c>
    </row>
    <row r="15" spans="1:2" x14ac:dyDescent="0.3">
      <c r="A15" t="s">
        <v>61</v>
      </c>
      <c r="B15" t="s">
        <v>62</v>
      </c>
    </row>
    <row r="16" spans="1:2" x14ac:dyDescent="0.3">
      <c r="A16" t="s">
        <v>63</v>
      </c>
      <c r="B16" t="s">
        <v>64</v>
      </c>
    </row>
    <row r="17" spans="1:2" x14ac:dyDescent="0.3">
      <c r="A17" t="s">
        <v>65</v>
      </c>
      <c r="B17" t="s">
        <v>66</v>
      </c>
    </row>
    <row r="18" spans="1:2" x14ac:dyDescent="0.3">
      <c r="A18" t="s">
        <v>67</v>
      </c>
      <c r="B18" t="s">
        <v>68</v>
      </c>
    </row>
    <row r="19" spans="1:2" x14ac:dyDescent="0.3">
      <c r="A19" t="s">
        <v>69</v>
      </c>
      <c r="B19" t="s">
        <v>70</v>
      </c>
    </row>
    <row r="20" spans="1:2" x14ac:dyDescent="0.3">
      <c r="A20" t="s">
        <v>71</v>
      </c>
      <c r="B20" t="s">
        <v>72</v>
      </c>
    </row>
    <row r="21" spans="1:2" x14ac:dyDescent="0.3">
      <c r="A21" t="s">
        <v>73</v>
      </c>
      <c r="B21" t="s">
        <v>74</v>
      </c>
    </row>
    <row r="22" spans="1:2" x14ac:dyDescent="0.3">
      <c r="A22" t="s">
        <v>75</v>
      </c>
      <c r="B22" t="s">
        <v>76</v>
      </c>
    </row>
    <row r="23" spans="1:2" x14ac:dyDescent="0.3">
      <c r="A23" t="s">
        <v>77</v>
      </c>
      <c r="B23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8DF4-1F28-455F-BFA6-6057CB49A1CF}">
  <dimension ref="A1:B16"/>
  <sheetViews>
    <sheetView workbookViewId="0">
      <selection activeCell="A2" sqref="A2:B16"/>
    </sheetView>
  </sheetViews>
  <sheetFormatPr defaultRowHeight="14.4" x14ac:dyDescent="0.3"/>
  <cols>
    <col min="1" max="1" width="12.33203125" bestFit="1" customWidth="1"/>
    <col min="2" max="2" width="21.5546875" bestFit="1" customWidth="1"/>
  </cols>
  <sheetData>
    <row r="1" spans="1:2" x14ac:dyDescent="0.3">
      <c r="A1" t="s">
        <v>33</v>
      </c>
      <c r="B1" t="s">
        <v>34</v>
      </c>
    </row>
    <row r="2" spans="1:2" x14ac:dyDescent="0.3">
      <c r="A2" t="s">
        <v>116</v>
      </c>
      <c r="B2" t="s">
        <v>42</v>
      </c>
    </row>
    <row r="3" spans="1:2" x14ac:dyDescent="0.3">
      <c r="A3" t="s">
        <v>117</v>
      </c>
      <c r="B3" t="s">
        <v>44</v>
      </c>
    </row>
    <row r="4" spans="1:2" x14ac:dyDescent="0.3">
      <c r="A4" t="s">
        <v>118</v>
      </c>
      <c r="B4" t="s">
        <v>46</v>
      </c>
    </row>
    <row r="5" spans="1:2" x14ac:dyDescent="0.3">
      <c r="A5" t="s">
        <v>119</v>
      </c>
      <c r="B5" t="s">
        <v>48</v>
      </c>
    </row>
    <row r="6" spans="1:2" x14ac:dyDescent="0.3">
      <c r="A6" t="s">
        <v>120</v>
      </c>
      <c r="B6" t="s">
        <v>50</v>
      </c>
    </row>
    <row r="7" spans="1:2" x14ac:dyDescent="0.3">
      <c r="A7" t="s">
        <v>121</v>
      </c>
      <c r="B7" t="s">
        <v>52</v>
      </c>
    </row>
    <row r="8" spans="1:2" x14ac:dyDescent="0.3">
      <c r="A8" t="s">
        <v>122</v>
      </c>
      <c r="B8" t="s">
        <v>58</v>
      </c>
    </row>
    <row r="9" spans="1:2" x14ac:dyDescent="0.3">
      <c r="A9" t="s">
        <v>123</v>
      </c>
      <c r="B9" t="s">
        <v>66</v>
      </c>
    </row>
    <row r="10" spans="1:2" x14ac:dyDescent="0.3">
      <c r="A10" t="s">
        <v>124</v>
      </c>
      <c r="B10" t="s">
        <v>76</v>
      </c>
    </row>
    <row r="11" spans="1:2" x14ac:dyDescent="0.3">
      <c r="A11" t="s">
        <v>125</v>
      </c>
      <c r="B11" t="s">
        <v>126</v>
      </c>
    </row>
    <row r="12" spans="1:2" x14ac:dyDescent="0.3">
      <c r="A12" t="s">
        <v>127</v>
      </c>
      <c r="B12" t="s">
        <v>72</v>
      </c>
    </row>
    <row r="13" spans="1:2" x14ac:dyDescent="0.3">
      <c r="A13" t="s">
        <v>128</v>
      </c>
      <c r="B13" t="s">
        <v>129</v>
      </c>
    </row>
    <row r="14" spans="1:2" x14ac:dyDescent="0.3">
      <c r="A14" t="s">
        <v>130</v>
      </c>
      <c r="B14" t="s">
        <v>131</v>
      </c>
    </row>
    <row r="15" spans="1:2" x14ac:dyDescent="0.3">
      <c r="A15" t="s">
        <v>132</v>
      </c>
      <c r="B15" t="s">
        <v>38</v>
      </c>
    </row>
    <row r="16" spans="1:2" x14ac:dyDescent="0.3">
      <c r="A16" t="s">
        <v>133</v>
      </c>
      <c r="B16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62EF-B597-42DA-8BB8-35D5EB60D004}">
  <dimension ref="C9:Q68"/>
  <sheetViews>
    <sheetView showGridLines="0" zoomScale="80" workbookViewId="0">
      <selection activeCell="G9" sqref="G9:I34"/>
    </sheetView>
  </sheetViews>
  <sheetFormatPr defaultRowHeight="14.4" x14ac:dyDescent="0.3"/>
  <cols>
    <col min="2" max="2" width="28.5546875" customWidth="1"/>
    <col min="7" max="7" width="11.88671875" customWidth="1"/>
    <col min="8" max="8" width="22.109375" customWidth="1"/>
    <col min="11" max="11" width="28.6640625" customWidth="1"/>
  </cols>
  <sheetData>
    <row r="9" spans="3:9" x14ac:dyDescent="0.3">
      <c r="G9" s="1" t="s">
        <v>35</v>
      </c>
      <c r="H9" s="1" t="s">
        <v>79</v>
      </c>
      <c r="I9" s="1"/>
    </row>
    <row r="10" spans="3:9" x14ac:dyDescent="0.3">
      <c r="C10" s="3" t="s">
        <v>32</v>
      </c>
      <c r="G10" s="1" t="s">
        <v>37</v>
      </c>
      <c r="H10" s="1" t="s">
        <v>80</v>
      </c>
      <c r="I10" s="1"/>
    </row>
    <row r="11" spans="3:9" x14ac:dyDescent="0.3">
      <c r="C11" s="2" t="s">
        <v>10</v>
      </c>
      <c r="G11" s="1" t="s">
        <v>39</v>
      </c>
      <c r="H11" s="1" t="s">
        <v>81</v>
      </c>
      <c r="I11" s="1"/>
    </row>
    <row r="12" spans="3:9" x14ac:dyDescent="0.3">
      <c r="C12" s="2" t="s">
        <v>11</v>
      </c>
      <c r="G12" s="1" t="s">
        <v>41</v>
      </c>
      <c r="H12" s="1" t="s">
        <v>82</v>
      </c>
      <c r="I12" s="1"/>
    </row>
    <row r="13" spans="3:9" x14ac:dyDescent="0.3">
      <c r="C13" s="2" t="s">
        <v>12</v>
      </c>
      <c r="G13" s="1" t="s">
        <v>43</v>
      </c>
      <c r="H13" s="1" t="s">
        <v>83</v>
      </c>
      <c r="I13" s="1"/>
    </row>
    <row r="14" spans="3:9" x14ac:dyDescent="0.3">
      <c r="C14" s="2" t="s">
        <v>13</v>
      </c>
      <c r="G14" s="1" t="s">
        <v>45</v>
      </c>
      <c r="H14" s="1" t="s">
        <v>84</v>
      </c>
      <c r="I14" s="1"/>
    </row>
    <row r="15" spans="3:9" x14ac:dyDescent="0.3">
      <c r="C15" s="2" t="s">
        <v>14</v>
      </c>
      <c r="G15" s="1" t="s">
        <v>47</v>
      </c>
      <c r="H15" s="1" t="s">
        <v>85</v>
      </c>
      <c r="I15" s="1"/>
    </row>
    <row r="16" spans="3:9" x14ac:dyDescent="0.3">
      <c r="C16" s="2" t="s">
        <v>15</v>
      </c>
      <c r="G16" s="1" t="s">
        <v>49</v>
      </c>
      <c r="H16" s="1" t="s">
        <v>86</v>
      </c>
      <c r="I16" s="1"/>
    </row>
    <row r="17" spans="3:17" x14ac:dyDescent="0.3">
      <c r="C17" s="2" t="s">
        <v>16</v>
      </c>
      <c r="G17" s="1" t="s">
        <v>51</v>
      </c>
      <c r="H17" s="1" t="s">
        <v>87</v>
      </c>
      <c r="I17" s="1"/>
    </row>
    <row r="18" spans="3:17" x14ac:dyDescent="0.3">
      <c r="C18" s="2" t="s">
        <v>17</v>
      </c>
      <c r="G18" s="1" t="s">
        <v>53</v>
      </c>
      <c r="H18" s="1" t="s">
        <v>88</v>
      </c>
      <c r="I18" s="1"/>
    </row>
    <row r="19" spans="3:17" x14ac:dyDescent="0.3">
      <c r="C19" s="2" t="s">
        <v>18</v>
      </c>
      <c r="G19" s="1" t="s">
        <v>55</v>
      </c>
      <c r="H19" s="1" t="s">
        <v>89</v>
      </c>
      <c r="I19" s="1"/>
    </row>
    <row r="20" spans="3:17" x14ac:dyDescent="0.3">
      <c r="C20" s="2" t="s">
        <v>19</v>
      </c>
      <c r="G20" s="1" t="s">
        <v>57</v>
      </c>
      <c r="H20" s="1" t="s">
        <v>90</v>
      </c>
      <c r="I20" s="1"/>
      <c r="J20">
        <v>1</v>
      </c>
      <c r="K20" t="s">
        <v>112</v>
      </c>
      <c r="L20">
        <v>5.2</v>
      </c>
      <c r="M20">
        <v>4.5</v>
      </c>
      <c r="N20">
        <v>4.9000000000000004</v>
      </c>
      <c r="O20">
        <v>5</v>
      </c>
      <c r="P20" s="5">
        <f t="shared" ref="P20:P33" si="0">AVERAGE(L20:O20)</f>
        <v>4.9000000000000004</v>
      </c>
      <c r="Q20" s="6">
        <f>P20*10</f>
        <v>49</v>
      </c>
    </row>
    <row r="21" spans="3:17" x14ac:dyDescent="0.3">
      <c r="C21" s="2" t="s">
        <v>20</v>
      </c>
      <c r="G21" s="1" t="s">
        <v>59</v>
      </c>
      <c r="H21" s="1" t="s">
        <v>91</v>
      </c>
      <c r="I21" s="1"/>
      <c r="J21">
        <v>2</v>
      </c>
      <c r="K21" t="s">
        <v>113</v>
      </c>
      <c r="L21">
        <v>5.5</v>
      </c>
      <c r="M21">
        <v>5.8</v>
      </c>
      <c r="N21">
        <v>6.1</v>
      </c>
      <c r="O21">
        <v>6.3</v>
      </c>
      <c r="P21" s="5">
        <f t="shared" si="0"/>
        <v>5.9249999999999998</v>
      </c>
      <c r="Q21" s="6">
        <f t="shared" ref="Q21:Q33" si="1">P21*10</f>
        <v>59.25</v>
      </c>
    </row>
    <row r="22" spans="3:17" x14ac:dyDescent="0.3">
      <c r="C22" s="2" t="s">
        <v>21</v>
      </c>
      <c r="G22" s="1" t="s">
        <v>61</v>
      </c>
      <c r="H22" s="1" t="s">
        <v>92</v>
      </c>
      <c r="I22" s="1"/>
      <c r="J22">
        <v>3</v>
      </c>
      <c r="K22" t="s">
        <v>114</v>
      </c>
      <c r="L22">
        <v>6.5</v>
      </c>
      <c r="M22">
        <v>5.5</v>
      </c>
      <c r="N22">
        <v>6.7</v>
      </c>
      <c r="O22">
        <v>7</v>
      </c>
      <c r="P22" s="5">
        <f t="shared" si="0"/>
        <v>6.4249999999999998</v>
      </c>
      <c r="Q22" s="6">
        <f t="shared" si="1"/>
        <v>64.25</v>
      </c>
    </row>
    <row r="23" spans="3:17" x14ac:dyDescent="0.3">
      <c r="C23" s="2" t="s">
        <v>22</v>
      </c>
      <c r="G23" s="1" t="s">
        <v>63</v>
      </c>
      <c r="H23" s="1" t="s">
        <v>93</v>
      </c>
      <c r="I23" s="1"/>
      <c r="J23">
        <v>4</v>
      </c>
      <c r="K23" t="s">
        <v>101</v>
      </c>
      <c r="L23">
        <v>5</v>
      </c>
      <c r="M23">
        <v>4.8</v>
      </c>
      <c r="N23">
        <v>5</v>
      </c>
      <c r="O23">
        <v>5</v>
      </c>
      <c r="P23" s="5">
        <f t="shared" si="0"/>
        <v>4.95</v>
      </c>
      <c r="Q23" s="6">
        <f t="shared" si="1"/>
        <v>49.5</v>
      </c>
    </row>
    <row r="24" spans="3:17" x14ac:dyDescent="0.3">
      <c r="C24" s="2" t="s">
        <v>23</v>
      </c>
      <c r="G24" s="1" t="s">
        <v>65</v>
      </c>
      <c r="H24" s="1" t="s">
        <v>94</v>
      </c>
      <c r="I24" s="1"/>
      <c r="J24">
        <v>5</v>
      </c>
      <c r="K24" t="s">
        <v>102</v>
      </c>
      <c r="L24">
        <v>5</v>
      </c>
      <c r="M24">
        <v>4.7</v>
      </c>
      <c r="N24">
        <v>5.3</v>
      </c>
      <c r="O24">
        <v>5.2</v>
      </c>
      <c r="P24" s="5">
        <f t="shared" si="0"/>
        <v>5.05</v>
      </c>
      <c r="Q24" s="6">
        <f t="shared" si="1"/>
        <v>50.5</v>
      </c>
    </row>
    <row r="25" spans="3:17" x14ac:dyDescent="0.3">
      <c r="C25" s="2" t="s">
        <v>24</v>
      </c>
      <c r="G25" s="1" t="s">
        <v>67</v>
      </c>
      <c r="H25" s="1" t="s">
        <v>95</v>
      </c>
      <c r="I25" s="1"/>
      <c r="J25">
        <v>6</v>
      </c>
      <c r="K25" t="s">
        <v>103</v>
      </c>
      <c r="L25">
        <v>5</v>
      </c>
      <c r="M25">
        <v>5.8</v>
      </c>
      <c r="N25">
        <v>5.5</v>
      </c>
      <c r="O25">
        <v>5.7</v>
      </c>
      <c r="P25" s="5">
        <f t="shared" si="0"/>
        <v>5.5</v>
      </c>
      <c r="Q25" s="6">
        <f t="shared" si="1"/>
        <v>55</v>
      </c>
    </row>
    <row r="26" spans="3:17" x14ac:dyDescent="0.3">
      <c r="C26" s="2" t="s">
        <v>25</v>
      </c>
      <c r="G26" s="1" t="s">
        <v>69</v>
      </c>
      <c r="H26" s="1" t="s">
        <v>96</v>
      </c>
      <c r="I26" s="1"/>
      <c r="J26">
        <v>7</v>
      </c>
      <c r="K26" t="s">
        <v>104</v>
      </c>
      <c r="L26">
        <v>6</v>
      </c>
      <c r="M26">
        <v>5.6</v>
      </c>
      <c r="N26">
        <v>5.4</v>
      </c>
      <c r="O26">
        <v>5.8</v>
      </c>
      <c r="P26" s="5">
        <f t="shared" si="0"/>
        <v>5.7</v>
      </c>
      <c r="Q26" s="6">
        <f t="shared" si="1"/>
        <v>57</v>
      </c>
    </row>
    <row r="27" spans="3:17" x14ac:dyDescent="0.3">
      <c r="C27" s="2" t="s">
        <v>26</v>
      </c>
      <c r="G27" s="1" t="s">
        <v>71</v>
      </c>
      <c r="H27" s="1" t="s">
        <v>97</v>
      </c>
      <c r="I27" s="1"/>
      <c r="J27">
        <v>8</v>
      </c>
      <c r="K27" t="s">
        <v>105</v>
      </c>
      <c r="L27">
        <v>6.8</v>
      </c>
      <c r="M27">
        <v>7</v>
      </c>
      <c r="N27">
        <v>7.2</v>
      </c>
      <c r="O27">
        <v>7</v>
      </c>
      <c r="P27" s="5">
        <f t="shared" si="0"/>
        <v>7</v>
      </c>
      <c r="Q27" s="6">
        <f t="shared" si="1"/>
        <v>70</v>
      </c>
    </row>
    <row r="28" spans="3:17" x14ac:dyDescent="0.3">
      <c r="C28" s="2" t="s">
        <v>27</v>
      </c>
      <c r="G28" s="1" t="s">
        <v>73</v>
      </c>
      <c r="H28" s="1" t="s">
        <v>98</v>
      </c>
      <c r="I28" s="1"/>
      <c r="J28">
        <v>9</v>
      </c>
      <c r="K28" t="s">
        <v>106</v>
      </c>
      <c r="L28">
        <v>5.5</v>
      </c>
      <c r="M28">
        <v>6</v>
      </c>
      <c r="N28">
        <v>6.5</v>
      </c>
      <c r="O28">
        <v>6.8</v>
      </c>
      <c r="P28" s="5">
        <f>AVERAGE(L28:O28)</f>
        <v>6.2</v>
      </c>
      <c r="Q28" s="6">
        <f t="shared" si="1"/>
        <v>62</v>
      </c>
    </row>
    <row r="29" spans="3:17" x14ac:dyDescent="0.3">
      <c r="C29" s="2" t="s">
        <v>28</v>
      </c>
      <c r="G29" s="1" t="s">
        <v>75</v>
      </c>
      <c r="H29" s="1" t="s">
        <v>99</v>
      </c>
      <c r="I29" s="1"/>
      <c r="J29">
        <v>12</v>
      </c>
      <c r="K29" t="s">
        <v>107</v>
      </c>
      <c r="L29">
        <v>6.4</v>
      </c>
      <c r="M29">
        <v>6.3</v>
      </c>
      <c r="N29">
        <v>6.7</v>
      </c>
      <c r="O29">
        <v>6.5</v>
      </c>
      <c r="P29" s="5">
        <f t="shared" si="0"/>
        <v>6.4749999999999996</v>
      </c>
      <c r="Q29" s="6">
        <f t="shared" si="1"/>
        <v>64.75</v>
      </c>
    </row>
    <row r="30" spans="3:17" x14ac:dyDescent="0.3">
      <c r="C30" s="2" t="s">
        <v>29</v>
      </c>
      <c r="G30" s="1" t="s">
        <v>77</v>
      </c>
      <c r="H30" s="1" t="s">
        <v>100</v>
      </c>
      <c r="I30" s="1"/>
      <c r="J30">
        <v>16</v>
      </c>
      <c r="K30" t="s">
        <v>108</v>
      </c>
      <c r="L30">
        <v>7</v>
      </c>
      <c r="M30">
        <v>6.5</v>
      </c>
      <c r="N30">
        <v>6.2</v>
      </c>
      <c r="O30">
        <v>6.6</v>
      </c>
      <c r="P30" s="5">
        <f t="shared" si="0"/>
        <v>6.5749999999999993</v>
      </c>
      <c r="Q30" s="6">
        <f t="shared" si="1"/>
        <v>65.75</v>
      </c>
    </row>
    <row r="31" spans="3:17" x14ac:dyDescent="0.3">
      <c r="C31" s="2" t="s">
        <v>30</v>
      </c>
      <c r="J31">
        <v>19</v>
      </c>
      <c r="K31" t="s">
        <v>111</v>
      </c>
      <c r="L31">
        <v>5.2</v>
      </c>
      <c r="M31">
        <v>5.3</v>
      </c>
      <c r="N31">
        <v>5</v>
      </c>
      <c r="O31">
        <v>5</v>
      </c>
      <c r="P31" s="5">
        <f t="shared" si="0"/>
        <v>5.125</v>
      </c>
      <c r="Q31" s="6">
        <f t="shared" si="1"/>
        <v>51.25</v>
      </c>
    </row>
    <row r="32" spans="3:17" x14ac:dyDescent="0.3">
      <c r="C32" s="4" t="s">
        <v>31</v>
      </c>
      <c r="J32">
        <v>21</v>
      </c>
      <c r="K32" t="s">
        <v>109</v>
      </c>
      <c r="L32">
        <v>4</v>
      </c>
      <c r="M32">
        <v>4.2</v>
      </c>
      <c r="N32">
        <v>4.7</v>
      </c>
      <c r="O32">
        <v>4.2</v>
      </c>
      <c r="P32" s="5">
        <f t="shared" si="0"/>
        <v>4.2749999999999995</v>
      </c>
      <c r="Q32" s="6">
        <f t="shared" si="1"/>
        <v>42.749999999999993</v>
      </c>
    </row>
    <row r="33" spans="10:17" x14ac:dyDescent="0.3">
      <c r="J33">
        <v>22</v>
      </c>
      <c r="K33" t="s">
        <v>110</v>
      </c>
      <c r="L33">
        <v>4.5</v>
      </c>
      <c r="M33">
        <v>4.3</v>
      </c>
      <c r="N33">
        <v>4.4000000000000004</v>
      </c>
      <c r="O33">
        <v>4.4000000000000004</v>
      </c>
      <c r="P33" s="5">
        <f t="shared" si="0"/>
        <v>4.4000000000000004</v>
      </c>
      <c r="Q33" s="6">
        <f t="shared" si="1"/>
        <v>44</v>
      </c>
    </row>
    <row r="35" spans="10:17" x14ac:dyDescent="0.3">
      <c r="K35" t="s">
        <v>32</v>
      </c>
      <c r="L35">
        <v>5</v>
      </c>
      <c r="M35">
        <v>4.8</v>
      </c>
      <c r="N35">
        <v>5</v>
      </c>
      <c r="O35">
        <v>5</v>
      </c>
      <c r="P35" s="5">
        <f t="shared" ref="P35:P49" si="2">AVERAGE(L35:O35)</f>
        <v>4.95</v>
      </c>
      <c r="Q35" s="6">
        <f>P35*10</f>
        <v>49.5</v>
      </c>
    </row>
    <row r="36" spans="10:17" x14ac:dyDescent="0.3">
      <c r="K36" t="s">
        <v>101</v>
      </c>
      <c r="L36">
        <v>5</v>
      </c>
      <c r="M36">
        <v>4.7</v>
      </c>
      <c r="N36">
        <v>5.3</v>
      </c>
      <c r="O36">
        <v>5.2</v>
      </c>
      <c r="P36" s="5">
        <f t="shared" si="2"/>
        <v>5.05</v>
      </c>
      <c r="Q36" s="6">
        <f t="shared" ref="Q36:Q49" si="3">P36*10</f>
        <v>50.5</v>
      </c>
    </row>
    <row r="37" spans="10:17" x14ac:dyDescent="0.3">
      <c r="K37" t="s">
        <v>102</v>
      </c>
      <c r="L37">
        <v>5</v>
      </c>
      <c r="M37">
        <v>5.8</v>
      </c>
      <c r="N37">
        <v>5.5</v>
      </c>
      <c r="O37">
        <v>5.7</v>
      </c>
      <c r="P37" s="5">
        <f t="shared" si="2"/>
        <v>5.5</v>
      </c>
      <c r="Q37" s="6">
        <f t="shared" si="3"/>
        <v>55</v>
      </c>
    </row>
    <row r="38" spans="10:17" x14ac:dyDescent="0.3">
      <c r="K38" t="s">
        <v>103</v>
      </c>
      <c r="L38">
        <v>6</v>
      </c>
      <c r="M38">
        <v>5.6</v>
      </c>
      <c r="N38">
        <v>5.4</v>
      </c>
      <c r="O38">
        <v>5.8</v>
      </c>
      <c r="P38" s="5">
        <f t="shared" si="2"/>
        <v>5.7</v>
      </c>
      <c r="Q38" s="6">
        <f t="shared" si="3"/>
        <v>57</v>
      </c>
    </row>
    <row r="39" spans="10:17" x14ac:dyDescent="0.3">
      <c r="K39" t="s">
        <v>104</v>
      </c>
      <c r="L39">
        <v>6.8</v>
      </c>
      <c r="M39">
        <v>7</v>
      </c>
      <c r="N39">
        <v>7.2</v>
      </c>
      <c r="O39">
        <v>7</v>
      </c>
      <c r="P39" s="5">
        <f t="shared" si="2"/>
        <v>7</v>
      </c>
      <c r="Q39" s="6">
        <f t="shared" si="3"/>
        <v>70</v>
      </c>
    </row>
    <row r="40" spans="10:17" x14ac:dyDescent="0.3">
      <c r="K40" t="s">
        <v>105</v>
      </c>
      <c r="L40">
        <v>5.5</v>
      </c>
      <c r="M40">
        <v>6</v>
      </c>
      <c r="N40">
        <v>6.5</v>
      </c>
      <c r="O40">
        <v>6.8</v>
      </c>
      <c r="P40" s="5">
        <f t="shared" si="2"/>
        <v>6.2</v>
      </c>
      <c r="Q40" s="6">
        <f t="shared" si="3"/>
        <v>62</v>
      </c>
    </row>
    <row r="41" spans="10:17" x14ac:dyDescent="0.3">
      <c r="K41" t="s">
        <v>106</v>
      </c>
      <c r="L41">
        <v>6.4</v>
      </c>
      <c r="M41">
        <v>6.3</v>
      </c>
      <c r="N41">
        <v>6.7</v>
      </c>
      <c r="O41">
        <v>6.5</v>
      </c>
      <c r="P41" s="5">
        <f t="shared" si="2"/>
        <v>6.4749999999999996</v>
      </c>
      <c r="Q41" s="6">
        <f t="shared" si="3"/>
        <v>64.75</v>
      </c>
    </row>
    <row r="42" spans="10:17" x14ac:dyDescent="0.3">
      <c r="K42" t="s">
        <v>107</v>
      </c>
      <c r="L42">
        <v>7</v>
      </c>
      <c r="M42">
        <v>6.5</v>
      </c>
      <c r="N42">
        <v>6.2</v>
      </c>
      <c r="O42">
        <v>6.6</v>
      </c>
      <c r="P42" s="5">
        <f t="shared" si="2"/>
        <v>6.5749999999999993</v>
      </c>
      <c r="Q42" s="6">
        <f t="shared" si="3"/>
        <v>65.75</v>
      </c>
    </row>
    <row r="43" spans="10:17" x14ac:dyDescent="0.3">
      <c r="K43" t="s">
        <v>108</v>
      </c>
      <c r="L43">
        <v>4</v>
      </c>
      <c r="M43">
        <v>4.2</v>
      </c>
      <c r="N43">
        <v>4.7</v>
      </c>
      <c r="O43">
        <v>4.2</v>
      </c>
      <c r="P43" s="5">
        <f t="shared" si="2"/>
        <v>4.2749999999999995</v>
      </c>
      <c r="Q43" s="6">
        <f t="shared" si="3"/>
        <v>42.749999999999993</v>
      </c>
    </row>
    <row r="44" spans="10:17" x14ac:dyDescent="0.3">
      <c r="K44" t="s">
        <v>109</v>
      </c>
      <c r="L44">
        <v>4.5</v>
      </c>
      <c r="M44">
        <v>4.3</v>
      </c>
      <c r="N44">
        <v>4.4000000000000004</v>
      </c>
      <c r="O44">
        <v>4.4000000000000004</v>
      </c>
      <c r="P44" s="5">
        <f t="shared" si="2"/>
        <v>4.4000000000000004</v>
      </c>
      <c r="Q44" s="6">
        <f t="shared" si="3"/>
        <v>44</v>
      </c>
    </row>
    <row r="45" spans="10:17" x14ac:dyDescent="0.3">
      <c r="K45" t="s">
        <v>110</v>
      </c>
      <c r="L45">
        <v>5.2</v>
      </c>
      <c r="M45">
        <v>5.3</v>
      </c>
      <c r="N45">
        <v>5</v>
      </c>
      <c r="O45">
        <v>5</v>
      </c>
      <c r="P45" s="5">
        <f t="shared" si="2"/>
        <v>5.125</v>
      </c>
      <c r="Q45" s="6">
        <f t="shared" si="3"/>
        <v>51.25</v>
      </c>
    </row>
    <row r="46" spans="10:17" x14ac:dyDescent="0.3">
      <c r="K46" t="s">
        <v>111</v>
      </c>
      <c r="L46">
        <v>5.3</v>
      </c>
      <c r="M46">
        <v>5.4</v>
      </c>
      <c r="N46">
        <v>5.3</v>
      </c>
      <c r="O46">
        <v>5.0999999999999996</v>
      </c>
      <c r="P46" s="5">
        <f t="shared" si="2"/>
        <v>5.2750000000000004</v>
      </c>
      <c r="Q46" s="6">
        <f t="shared" si="3"/>
        <v>52.75</v>
      </c>
    </row>
    <row r="47" spans="10:17" x14ac:dyDescent="0.3">
      <c r="K47" t="s">
        <v>115</v>
      </c>
      <c r="L47">
        <v>5.2</v>
      </c>
      <c r="M47">
        <v>4.5</v>
      </c>
      <c r="N47">
        <v>4.9000000000000004</v>
      </c>
      <c r="O47">
        <v>5</v>
      </c>
      <c r="P47" s="5">
        <f t="shared" si="2"/>
        <v>4.9000000000000004</v>
      </c>
      <c r="Q47" s="6">
        <f t="shared" si="3"/>
        <v>49</v>
      </c>
    </row>
    <row r="48" spans="10:17" x14ac:dyDescent="0.3">
      <c r="K48" t="s">
        <v>112</v>
      </c>
      <c r="L48">
        <v>5.5</v>
      </c>
      <c r="M48">
        <v>5.8</v>
      </c>
      <c r="N48">
        <v>6.1</v>
      </c>
      <c r="O48">
        <v>6.3</v>
      </c>
      <c r="P48" s="5">
        <f t="shared" si="2"/>
        <v>5.9249999999999998</v>
      </c>
      <c r="Q48" s="6">
        <f t="shared" si="3"/>
        <v>59.25</v>
      </c>
    </row>
    <row r="49" spans="10:17" x14ac:dyDescent="0.3">
      <c r="K49" t="s">
        <v>113</v>
      </c>
      <c r="L49">
        <v>6.5</v>
      </c>
      <c r="M49">
        <v>5.5</v>
      </c>
      <c r="N49">
        <v>6.7</v>
      </c>
      <c r="O49">
        <v>7</v>
      </c>
      <c r="P49" s="5">
        <f t="shared" si="2"/>
        <v>6.4249999999999998</v>
      </c>
      <c r="Q49" s="6">
        <f t="shared" si="3"/>
        <v>64.25</v>
      </c>
    </row>
    <row r="50" spans="10:17" x14ac:dyDescent="0.3">
      <c r="K50" t="s">
        <v>114</v>
      </c>
    </row>
    <row r="54" spans="10:17" x14ac:dyDescent="0.3">
      <c r="J54" t="s">
        <v>124</v>
      </c>
      <c r="K54" t="s">
        <v>99</v>
      </c>
      <c r="L54">
        <v>4</v>
      </c>
      <c r="M54">
        <v>4.2</v>
      </c>
      <c r="N54">
        <v>4.7</v>
      </c>
      <c r="O54">
        <v>4.2</v>
      </c>
      <c r="P54" s="5">
        <f t="shared" ref="P54:P68" si="4">AVERAGE(L54:O54)</f>
        <v>4.2749999999999995</v>
      </c>
      <c r="Q54" s="6">
        <f t="shared" ref="Q54:Q68" si="5">P54*10</f>
        <v>42.749999999999993</v>
      </c>
    </row>
    <row r="55" spans="10:17" x14ac:dyDescent="0.3">
      <c r="J55" t="s">
        <v>125</v>
      </c>
      <c r="K55" t="s">
        <v>134</v>
      </c>
      <c r="L55">
        <v>4.5</v>
      </c>
      <c r="M55">
        <v>4.3</v>
      </c>
      <c r="N55">
        <v>4.4000000000000004</v>
      </c>
      <c r="O55">
        <v>4.4000000000000004</v>
      </c>
      <c r="P55" s="5">
        <f t="shared" si="4"/>
        <v>4.4000000000000004</v>
      </c>
      <c r="Q55" s="6">
        <f t="shared" si="5"/>
        <v>44</v>
      </c>
    </row>
    <row r="56" spans="10:17" x14ac:dyDescent="0.3">
      <c r="J56" t="s">
        <v>130</v>
      </c>
      <c r="K56" t="s">
        <v>136</v>
      </c>
      <c r="L56">
        <v>5.2</v>
      </c>
      <c r="M56">
        <v>4.5</v>
      </c>
      <c r="N56">
        <v>4.9000000000000004</v>
      </c>
      <c r="O56">
        <v>5</v>
      </c>
      <c r="P56" s="5">
        <f t="shared" si="4"/>
        <v>4.9000000000000004</v>
      </c>
      <c r="Q56" s="6">
        <f t="shared" si="5"/>
        <v>49</v>
      </c>
    </row>
    <row r="57" spans="10:17" x14ac:dyDescent="0.3">
      <c r="J57" t="s">
        <v>116</v>
      </c>
      <c r="K57" t="s">
        <v>82</v>
      </c>
      <c r="L57">
        <v>5</v>
      </c>
      <c r="M57">
        <v>4.8</v>
      </c>
      <c r="N57">
        <v>5</v>
      </c>
      <c r="O57">
        <v>5</v>
      </c>
      <c r="P57" s="5">
        <f t="shared" si="4"/>
        <v>4.95</v>
      </c>
      <c r="Q57" s="6">
        <f t="shared" si="5"/>
        <v>49.5</v>
      </c>
    </row>
    <row r="58" spans="10:17" x14ac:dyDescent="0.3">
      <c r="J58" t="s">
        <v>117</v>
      </c>
      <c r="K58" t="s">
        <v>83</v>
      </c>
      <c r="L58">
        <v>5</v>
      </c>
      <c r="M58">
        <v>4.7</v>
      </c>
      <c r="N58">
        <v>5.3</v>
      </c>
      <c r="O58">
        <v>5.2</v>
      </c>
      <c r="P58" s="5">
        <f t="shared" si="4"/>
        <v>5.05</v>
      </c>
      <c r="Q58" s="6">
        <f t="shared" si="5"/>
        <v>50.5</v>
      </c>
    </row>
    <row r="59" spans="10:17" x14ac:dyDescent="0.3">
      <c r="J59" t="s">
        <v>127</v>
      </c>
      <c r="K59" t="s">
        <v>97</v>
      </c>
      <c r="L59">
        <v>5.2</v>
      </c>
      <c r="M59">
        <v>5.3</v>
      </c>
      <c r="N59">
        <v>5</v>
      </c>
      <c r="O59">
        <v>5</v>
      </c>
      <c r="P59" s="5">
        <f t="shared" si="4"/>
        <v>5.125</v>
      </c>
      <c r="Q59" s="6">
        <f t="shared" si="5"/>
        <v>51.25</v>
      </c>
    </row>
    <row r="60" spans="10:17" x14ac:dyDescent="0.3">
      <c r="J60" t="s">
        <v>128</v>
      </c>
      <c r="K60" t="s">
        <v>135</v>
      </c>
      <c r="L60">
        <v>5.3</v>
      </c>
      <c r="M60">
        <v>5.4</v>
      </c>
      <c r="N60">
        <v>5.3</v>
      </c>
      <c r="O60">
        <v>5.0999999999999996</v>
      </c>
      <c r="P60" s="5">
        <f t="shared" si="4"/>
        <v>5.2750000000000004</v>
      </c>
      <c r="Q60" s="6">
        <f t="shared" si="5"/>
        <v>52.75</v>
      </c>
    </row>
    <row r="61" spans="10:17" x14ac:dyDescent="0.3">
      <c r="J61" t="s">
        <v>118</v>
      </c>
      <c r="K61" t="s">
        <v>84</v>
      </c>
      <c r="L61">
        <v>5</v>
      </c>
      <c r="M61">
        <v>5.8</v>
      </c>
      <c r="N61">
        <v>5.5</v>
      </c>
      <c r="O61">
        <v>5.7</v>
      </c>
      <c r="P61" s="5">
        <f t="shared" si="4"/>
        <v>5.5</v>
      </c>
      <c r="Q61" s="6">
        <f t="shared" si="5"/>
        <v>55</v>
      </c>
    </row>
    <row r="62" spans="10:17" x14ac:dyDescent="0.3">
      <c r="J62" t="s">
        <v>119</v>
      </c>
      <c r="K62" t="s">
        <v>85</v>
      </c>
      <c r="L62">
        <v>6</v>
      </c>
      <c r="M62">
        <v>5.6</v>
      </c>
      <c r="N62">
        <v>5.4</v>
      </c>
      <c r="O62">
        <v>5.8</v>
      </c>
      <c r="P62" s="5">
        <f t="shared" si="4"/>
        <v>5.7</v>
      </c>
      <c r="Q62" s="6">
        <f t="shared" si="5"/>
        <v>57</v>
      </c>
    </row>
    <row r="63" spans="10:17" x14ac:dyDescent="0.3">
      <c r="J63" t="s">
        <v>132</v>
      </c>
      <c r="K63" t="s">
        <v>80</v>
      </c>
      <c r="L63">
        <v>5.5</v>
      </c>
      <c r="M63">
        <v>5.8</v>
      </c>
      <c r="N63">
        <v>6.1</v>
      </c>
      <c r="O63">
        <v>6.3</v>
      </c>
      <c r="P63" s="5">
        <f t="shared" si="4"/>
        <v>5.9249999999999998</v>
      </c>
      <c r="Q63" s="6">
        <f t="shared" si="5"/>
        <v>59.25</v>
      </c>
    </row>
    <row r="64" spans="10:17" x14ac:dyDescent="0.3">
      <c r="J64" t="s">
        <v>121</v>
      </c>
      <c r="K64" t="s">
        <v>87</v>
      </c>
      <c r="L64">
        <v>5.5</v>
      </c>
      <c r="M64">
        <v>6</v>
      </c>
      <c r="N64">
        <v>6.5</v>
      </c>
      <c r="O64">
        <v>6.8</v>
      </c>
      <c r="P64" s="5">
        <f t="shared" si="4"/>
        <v>6.2</v>
      </c>
      <c r="Q64" s="6">
        <f t="shared" si="5"/>
        <v>62</v>
      </c>
    </row>
    <row r="65" spans="10:17" x14ac:dyDescent="0.3">
      <c r="J65" t="s">
        <v>133</v>
      </c>
      <c r="K65" t="s">
        <v>81</v>
      </c>
      <c r="L65">
        <v>6.5</v>
      </c>
      <c r="M65">
        <v>5.5</v>
      </c>
      <c r="N65">
        <v>6.7</v>
      </c>
      <c r="O65">
        <v>7</v>
      </c>
      <c r="P65" s="5">
        <f t="shared" si="4"/>
        <v>6.4249999999999998</v>
      </c>
      <c r="Q65" s="6">
        <f t="shared" si="5"/>
        <v>64.25</v>
      </c>
    </row>
    <row r="66" spans="10:17" x14ac:dyDescent="0.3">
      <c r="J66" t="s">
        <v>122</v>
      </c>
      <c r="K66" t="s">
        <v>90</v>
      </c>
      <c r="L66">
        <v>6.4</v>
      </c>
      <c r="M66">
        <v>6.3</v>
      </c>
      <c r="N66">
        <v>6.7</v>
      </c>
      <c r="O66">
        <v>6.5</v>
      </c>
      <c r="P66" s="5">
        <f t="shared" si="4"/>
        <v>6.4749999999999996</v>
      </c>
      <c r="Q66" s="6">
        <f t="shared" si="5"/>
        <v>64.75</v>
      </c>
    </row>
    <row r="67" spans="10:17" x14ac:dyDescent="0.3">
      <c r="J67" t="s">
        <v>123</v>
      </c>
      <c r="K67" t="s">
        <v>94</v>
      </c>
      <c r="L67">
        <v>7</v>
      </c>
      <c r="M67">
        <v>6.5</v>
      </c>
      <c r="N67">
        <v>6.2</v>
      </c>
      <c r="O67">
        <v>6.6</v>
      </c>
      <c r="P67" s="5">
        <f t="shared" si="4"/>
        <v>6.5749999999999993</v>
      </c>
      <c r="Q67" s="6">
        <f t="shared" si="5"/>
        <v>65.75</v>
      </c>
    </row>
    <row r="68" spans="10:17" x14ac:dyDescent="0.3">
      <c r="J68" t="s">
        <v>120</v>
      </c>
      <c r="K68" t="s">
        <v>86</v>
      </c>
      <c r="L68">
        <v>6.8</v>
      </c>
      <c r="M68">
        <v>7</v>
      </c>
      <c r="N68">
        <v>7.2</v>
      </c>
      <c r="O68">
        <v>7</v>
      </c>
      <c r="P68" s="5">
        <f t="shared" si="4"/>
        <v>7</v>
      </c>
      <c r="Q68" s="6">
        <f t="shared" si="5"/>
        <v>70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30DD-AD87-4251-BD8C-0DCA52605569}">
  <dimension ref="A1"/>
  <sheetViews>
    <sheetView workbookViewId="0">
      <selection activeCell="C3" sqref="C3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E7D4-CD76-4CDF-83FD-8D0C567571B1}">
  <sheetPr>
    <pageSetUpPr fitToPage="1"/>
  </sheetPr>
  <dimension ref="D1:AF93"/>
  <sheetViews>
    <sheetView showGridLines="0" topLeftCell="A21" zoomScale="70" zoomScaleNormal="70" workbookViewId="0">
      <selection activeCell="D49" sqref="D49:Z79"/>
    </sheetView>
  </sheetViews>
  <sheetFormatPr defaultRowHeight="14.4" x14ac:dyDescent="0.3"/>
  <cols>
    <col min="1" max="1" width="12.109375" customWidth="1"/>
    <col min="2" max="2" width="26.5546875" customWidth="1"/>
    <col min="3" max="3" width="11.5546875" customWidth="1"/>
    <col min="4" max="4" width="28.5546875" customWidth="1"/>
    <col min="5" max="20" width="4.88671875" customWidth="1"/>
    <col min="21" max="21" width="7.88671875" customWidth="1"/>
    <col min="22" max="22" width="10.6640625" customWidth="1"/>
    <col min="23" max="23" width="10.5546875" customWidth="1"/>
    <col min="24" max="24" width="7.109375" customWidth="1"/>
    <col min="25" max="25" width="10.109375" customWidth="1"/>
    <col min="26" max="26" width="10.33203125" customWidth="1"/>
    <col min="28" max="28" width="17.33203125" customWidth="1"/>
    <col min="29" max="29" width="28.6640625" customWidth="1"/>
    <col min="30" max="30" width="15.88671875" customWidth="1"/>
    <col min="31" max="31" width="11" customWidth="1"/>
    <col min="32" max="32" width="10.44140625" customWidth="1"/>
    <col min="33" max="33" width="11.44140625" customWidth="1"/>
  </cols>
  <sheetData>
    <row r="1" spans="4:32" ht="12.75" customHeight="1" thickBot="1" x14ac:dyDescent="0.35"/>
    <row r="2" spans="4:32" ht="16.95" customHeight="1" thickBot="1" x14ac:dyDescent="0.35">
      <c r="D2" s="149" t="s">
        <v>0</v>
      </c>
      <c r="E2" s="151" t="s">
        <v>137</v>
      </c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/>
      <c r="U2" s="151" t="s">
        <v>1</v>
      </c>
      <c r="V2" s="152"/>
      <c r="W2" s="153"/>
      <c r="X2" s="151" t="s">
        <v>2</v>
      </c>
      <c r="Y2" s="152"/>
      <c r="Z2" s="153"/>
    </row>
    <row r="3" spans="4:32" ht="48" customHeight="1" thickBot="1" x14ac:dyDescent="0.35">
      <c r="D3" s="150"/>
      <c r="E3" s="74">
        <v>1</v>
      </c>
      <c r="F3" s="75">
        <v>2</v>
      </c>
      <c r="G3" s="75">
        <v>3</v>
      </c>
      <c r="H3" s="75">
        <v>4</v>
      </c>
      <c r="I3" s="75">
        <v>5</v>
      </c>
      <c r="J3" s="75">
        <v>6</v>
      </c>
      <c r="K3" s="75">
        <v>7</v>
      </c>
      <c r="L3" s="75">
        <v>8</v>
      </c>
      <c r="M3" s="75">
        <v>9</v>
      </c>
      <c r="N3" s="75">
        <v>10</v>
      </c>
      <c r="O3" s="75">
        <v>11</v>
      </c>
      <c r="P3" s="75">
        <v>12</v>
      </c>
      <c r="Q3" s="75">
        <v>13</v>
      </c>
      <c r="R3" s="75">
        <v>14</v>
      </c>
      <c r="S3" s="75">
        <v>15</v>
      </c>
      <c r="T3" s="76">
        <v>16</v>
      </c>
      <c r="U3" s="15" t="s">
        <v>3</v>
      </c>
      <c r="V3" s="16" t="s">
        <v>4</v>
      </c>
      <c r="W3" s="17" t="s">
        <v>5</v>
      </c>
      <c r="X3" s="15" t="s">
        <v>6</v>
      </c>
      <c r="Y3" s="16" t="s">
        <v>4</v>
      </c>
      <c r="Z3" s="17" t="s">
        <v>5</v>
      </c>
      <c r="AB3" s="39" t="s">
        <v>138</v>
      </c>
      <c r="AC3" s="35" t="str">
        <f>D2</f>
        <v>Área de Ensaio</v>
      </c>
      <c r="AD3" s="39" t="s">
        <v>143</v>
      </c>
      <c r="AE3" s="39" t="s">
        <v>142</v>
      </c>
      <c r="AF3" s="40" t="s">
        <v>144</v>
      </c>
    </row>
    <row r="4" spans="4:32" ht="15" customHeight="1" x14ac:dyDescent="0.3">
      <c r="D4" s="65" t="s">
        <v>10</v>
      </c>
      <c r="E4" s="78">
        <v>30</v>
      </c>
      <c r="F4" s="79">
        <v>32</v>
      </c>
      <c r="G4" s="79">
        <v>32</v>
      </c>
      <c r="H4" s="79">
        <v>33</v>
      </c>
      <c r="I4" s="79">
        <v>34</v>
      </c>
      <c r="J4" s="79">
        <v>34</v>
      </c>
      <c r="K4" s="79">
        <v>35</v>
      </c>
      <c r="L4" s="79">
        <v>36</v>
      </c>
      <c r="M4" s="79">
        <v>36</v>
      </c>
      <c r="N4" s="79">
        <v>36</v>
      </c>
      <c r="O4" s="79">
        <v>36</v>
      </c>
      <c r="P4" s="79">
        <v>36</v>
      </c>
      <c r="Q4" s="79">
        <v>36</v>
      </c>
      <c r="R4" s="79">
        <v>37</v>
      </c>
      <c r="S4" s="79">
        <v>37</v>
      </c>
      <c r="T4" s="80">
        <v>37</v>
      </c>
      <c r="U4" s="71">
        <f t="shared" ref="U4:U41" si="0">AVERAGE(E4:T4)</f>
        <v>34.8125</v>
      </c>
      <c r="V4" s="13">
        <f t="shared" ref="V4:V41" si="1">U4*0.9</f>
        <v>31.331250000000001</v>
      </c>
      <c r="W4" s="53">
        <f t="shared" ref="W4:W41" si="2">U4*1.1</f>
        <v>38.293750000000003</v>
      </c>
      <c r="X4" s="14">
        <f t="shared" ref="X4:X41" si="3">AVERAGEIFS(E4:T4,E4:T4,"&gt;"&amp;V4, E4:T4, "&lt;"&amp;W4)</f>
        <v>35.133333333333333</v>
      </c>
      <c r="Y4" s="56">
        <f t="shared" ref="Y4:Y41" si="4">X4*0.9</f>
        <v>31.62</v>
      </c>
      <c r="Z4" s="59">
        <f t="shared" ref="Z4:Z41" si="5">X4*1.1</f>
        <v>38.646666666666668</v>
      </c>
      <c r="AB4" s="34">
        <v>49</v>
      </c>
      <c r="AC4" s="37" t="str">
        <f t="shared" ref="AC4:AC41" si="6">D4</f>
        <v>ES-01 (túnel de descarga-PT05)</v>
      </c>
      <c r="AD4" s="38">
        <f>X4</f>
        <v>35.133333333333333</v>
      </c>
      <c r="AE4" s="41" cm="1">
        <f t="array" ref="AE4">SUMPRODUCT((AD4&gt;=$AC$47:$AC$49)*(AD4&lt;$AD$47:$AD$49)*$AE$47:$AE$49)</f>
        <v>0.6</v>
      </c>
      <c r="AF4" s="38">
        <f>AD4*AE4</f>
        <v>21.08</v>
      </c>
    </row>
    <row r="5" spans="4:32" ht="15" customHeight="1" x14ac:dyDescent="0.3">
      <c r="D5" s="11" t="s">
        <v>11</v>
      </c>
      <c r="E5" s="81">
        <v>30</v>
      </c>
      <c r="F5" s="77">
        <v>30</v>
      </c>
      <c r="G5" s="77">
        <v>30</v>
      </c>
      <c r="H5" s="77">
        <v>30</v>
      </c>
      <c r="I5" s="77">
        <v>30</v>
      </c>
      <c r="J5" s="77">
        <v>30</v>
      </c>
      <c r="K5" s="77">
        <v>31</v>
      </c>
      <c r="L5" s="77">
        <v>31</v>
      </c>
      <c r="M5" s="77">
        <v>31</v>
      </c>
      <c r="N5" s="77">
        <v>31</v>
      </c>
      <c r="O5" s="77">
        <v>32</v>
      </c>
      <c r="P5" s="77">
        <v>32</v>
      </c>
      <c r="Q5" s="77">
        <v>32</v>
      </c>
      <c r="R5" s="77">
        <v>32</v>
      </c>
      <c r="S5" s="77">
        <v>32</v>
      </c>
      <c r="T5" s="82">
        <v>32</v>
      </c>
      <c r="U5" s="72">
        <f t="shared" si="0"/>
        <v>31</v>
      </c>
      <c r="V5" s="7">
        <f t="shared" si="1"/>
        <v>27.900000000000002</v>
      </c>
      <c r="W5" s="54">
        <f t="shared" si="2"/>
        <v>34.1</v>
      </c>
      <c r="X5" s="9">
        <f t="shared" si="3"/>
        <v>31</v>
      </c>
      <c r="Y5" s="57">
        <f t="shared" si="4"/>
        <v>27.900000000000002</v>
      </c>
      <c r="Z5" s="60">
        <f t="shared" si="5"/>
        <v>34.1</v>
      </c>
      <c r="AB5" s="29">
        <v>59.3</v>
      </c>
      <c r="AC5" s="19" t="str">
        <f t="shared" si="6"/>
        <v>ES-02 (túnel de descarga-PT03)</v>
      </c>
      <c r="AD5" s="36">
        <f t="shared" ref="AD5:AD41" si="7">X5</f>
        <v>31</v>
      </c>
      <c r="AE5" s="41" cm="1">
        <f t="array" ref="AE5">SUMPRODUCT((AD5&gt;=$AC$47:$AC$49)*(AD5&lt;$AD$47:$AD$49)*$AE$47:$AE$49)</f>
        <v>0.63</v>
      </c>
      <c r="AF5" s="36">
        <f t="shared" ref="AF5:AF41" si="8">AD5*AE5</f>
        <v>19.53</v>
      </c>
    </row>
    <row r="6" spans="4:32" ht="15" customHeight="1" x14ac:dyDescent="0.3">
      <c r="D6" s="11" t="s">
        <v>12</v>
      </c>
      <c r="E6" s="81">
        <v>27</v>
      </c>
      <c r="F6" s="77">
        <v>30</v>
      </c>
      <c r="G6" s="77">
        <v>31</v>
      </c>
      <c r="H6" s="77">
        <v>31</v>
      </c>
      <c r="I6" s="77">
        <v>31</v>
      </c>
      <c r="J6" s="77">
        <v>31</v>
      </c>
      <c r="K6" s="77">
        <v>32</v>
      </c>
      <c r="L6" s="77">
        <v>32</v>
      </c>
      <c r="M6" s="77">
        <v>32</v>
      </c>
      <c r="N6" s="77">
        <v>33</v>
      </c>
      <c r="O6" s="77">
        <v>33</v>
      </c>
      <c r="P6" s="77">
        <v>34</v>
      </c>
      <c r="Q6" s="77">
        <v>34</v>
      </c>
      <c r="R6" s="77">
        <v>37</v>
      </c>
      <c r="S6" s="77">
        <v>39</v>
      </c>
      <c r="T6" s="82">
        <v>39</v>
      </c>
      <c r="U6" s="72">
        <f t="shared" si="0"/>
        <v>32.875</v>
      </c>
      <c r="V6" s="7">
        <f t="shared" si="1"/>
        <v>29.587500000000002</v>
      </c>
      <c r="W6" s="54">
        <f t="shared" si="2"/>
        <v>36.162500000000001</v>
      </c>
      <c r="X6" s="9">
        <f t="shared" si="3"/>
        <v>32</v>
      </c>
      <c r="Y6" s="57">
        <f t="shared" si="4"/>
        <v>28.8</v>
      </c>
      <c r="Z6" s="60">
        <f t="shared" si="5"/>
        <v>35.200000000000003</v>
      </c>
      <c r="AB6" s="29">
        <v>64.3</v>
      </c>
      <c r="AC6" s="19" t="str">
        <f t="shared" si="6"/>
        <v>ES-03 (túnel de descarga-PT06)</v>
      </c>
      <c r="AD6" s="36">
        <f t="shared" si="7"/>
        <v>32</v>
      </c>
      <c r="AE6" s="41" cm="1">
        <f t="array" ref="AE6">SUMPRODUCT((AD6&gt;=$AC$47:$AC$49)*(AD6&lt;$AD$47:$AD$49)*$AE$47:$AE$49)</f>
        <v>0.63</v>
      </c>
      <c r="AF6" s="36">
        <f t="shared" si="8"/>
        <v>20.16</v>
      </c>
    </row>
    <row r="7" spans="4:32" ht="15" customHeight="1" x14ac:dyDescent="0.3">
      <c r="D7" s="11" t="s">
        <v>13</v>
      </c>
      <c r="E7" s="81">
        <v>33</v>
      </c>
      <c r="F7" s="77">
        <v>33</v>
      </c>
      <c r="G7" s="77">
        <v>34</v>
      </c>
      <c r="H7" s="77">
        <v>34</v>
      </c>
      <c r="I7" s="77">
        <v>36</v>
      </c>
      <c r="J7" s="77">
        <v>36</v>
      </c>
      <c r="K7" s="77">
        <v>37</v>
      </c>
      <c r="L7" s="77">
        <v>37</v>
      </c>
      <c r="M7" s="77">
        <v>37</v>
      </c>
      <c r="N7" s="77">
        <v>37</v>
      </c>
      <c r="O7" s="77">
        <v>38</v>
      </c>
      <c r="P7" s="77">
        <v>38</v>
      </c>
      <c r="Q7" s="77">
        <v>39</v>
      </c>
      <c r="R7" s="77">
        <v>39</v>
      </c>
      <c r="S7" s="77">
        <v>40</v>
      </c>
      <c r="T7" s="82">
        <v>48</v>
      </c>
      <c r="U7" s="72">
        <f t="shared" si="0"/>
        <v>37.25</v>
      </c>
      <c r="V7" s="7">
        <f t="shared" si="1"/>
        <v>33.524999999999999</v>
      </c>
      <c r="W7" s="54">
        <f t="shared" si="2"/>
        <v>40.975000000000001</v>
      </c>
      <c r="X7" s="9">
        <f t="shared" si="3"/>
        <v>37.07692307692308</v>
      </c>
      <c r="Y7" s="57">
        <f t="shared" si="4"/>
        <v>33.369230769230775</v>
      </c>
      <c r="Z7" s="60">
        <f t="shared" si="5"/>
        <v>40.784615384615392</v>
      </c>
      <c r="AB7" s="29">
        <v>49.5</v>
      </c>
      <c r="AC7" s="19" t="str">
        <f t="shared" si="6"/>
        <v>ES-04 (estaca 71-N)</v>
      </c>
      <c r="AD7" s="36">
        <f t="shared" si="7"/>
        <v>37.07692307692308</v>
      </c>
      <c r="AE7" s="41" cm="1">
        <f t="array" ref="AE7">SUMPRODUCT((AD7&gt;=$AC$47:$AC$49)*(AD7&lt;$AD$47:$AD$49)*$AE$47:$AE$49)</f>
        <v>0.6</v>
      </c>
      <c r="AF7" s="36">
        <f>AD7*AE7</f>
        <v>22.246153846153849</v>
      </c>
    </row>
    <row r="8" spans="4:32" ht="15" customHeight="1" x14ac:dyDescent="0.3">
      <c r="D8" s="11" t="s">
        <v>14</v>
      </c>
      <c r="E8" s="81">
        <v>31</v>
      </c>
      <c r="F8" s="77">
        <v>34</v>
      </c>
      <c r="G8" s="77">
        <v>34</v>
      </c>
      <c r="H8" s="77">
        <v>35</v>
      </c>
      <c r="I8" s="77">
        <v>35</v>
      </c>
      <c r="J8" s="77">
        <v>36</v>
      </c>
      <c r="K8" s="77">
        <v>36</v>
      </c>
      <c r="L8" s="77">
        <v>36</v>
      </c>
      <c r="M8" s="77">
        <v>36</v>
      </c>
      <c r="N8" s="77">
        <v>38</v>
      </c>
      <c r="O8" s="77">
        <v>38</v>
      </c>
      <c r="P8" s="77">
        <v>38</v>
      </c>
      <c r="Q8" s="77">
        <v>38</v>
      </c>
      <c r="R8" s="77">
        <v>39</v>
      </c>
      <c r="S8" s="77">
        <v>44</v>
      </c>
      <c r="T8" s="82">
        <v>48</v>
      </c>
      <c r="U8" s="72">
        <f t="shared" si="0"/>
        <v>37.25</v>
      </c>
      <c r="V8" s="7">
        <f t="shared" si="1"/>
        <v>33.524999999999999</v>
      </c>
      <c r="W8" s="54">
        <f t="shared" si="2"/>
        <v>40.975000000000001</v>
      </c>
      <c r="X8" s="9">
        <f t="shared" si="3"/>
        <v>36.384615384615387</v>
      </c>
      <c r="Y8" s="57">
        <f t="shared" si="4"/>
        <v>32.746153846153852</v>
      </c>
      <c r="Z8" s="60">
        <f t="shared" si="5"/>
        <v>40.023076923076928</v>
      </c>
      <c r="AB8" s="29">
        <v>50.5</v>
      </c>
      <c r="AC8" s="19" t="str">
        <f t="shared" si="6"/>
        <v>ES-05 (estaca 71-O)</v>
      </c>
      <c r="AD8" s="36">
        <f t="shared" si="7"/>
        <v>36.384615384615387</v>
      </c>
      <c r="AE8" s="41" cm="1">
        <f t="array" ref="AE8">SUMPRODUCT((AD8&gt;=$AC$47:$AC$49)*(AD8&lt;$AD$47:$AD$49)*$AE$47:$AE$49)</f>
        <v>0.6</v>
      </c>
      <c r="AF8" s="36">
        <f t="shared" si="8"/>
        <v>21.830769230769231</v>
      </c>
    </row>
    <row r="9" spans="4:32" ht="15" customHeight="1" x14ac:dyDescent="0.3">
      <c r="D9" s="11" t="s">
        <v>15</v>
      </c>
      <c r="E9" s="81">
        <v>35</v>
      </c>
      <c r="F9" s="77">
        <v>35</v>
      </c>
      <c r="G9" s="77">
        <v>36</v>
      </c>
      <c r="H9" s="77">
        <v>36</v>
      </c>
      <c r="I9" s="77">
        <v>37</v>
      </c>
      <c r="J9" s="77">
        <v>38</v>
      </c>
      <c r="K9" s="77">
        <v>38</v>
      </c>
      <c r="L9" s="77">
        <v>38</v>
      </c>
      <c r="M9" s="77">
        <v>41</v>
      </c>
      <c r="N9" s="77">
        <v>41</v>
      </c>
      <c r="O9" s="77">
        <v>42</v>
      </c>
      <c r="P9" s="77">
        <v>42</v>
      </c>
      <c r="Q9" s="77">
        <v>44</v>
      </c>
      <c r="R9" s="77">
        <v>45</v>
      </c>
      <c r="S9" s="77">
        <v>53</v>
      </c>
      <c r="T9" s="82">
        <v>58</v>
      </c>
      <c r="U9" s="72">
        <f t="shared" si="0"/>
        <v>41.1875</v>
      </c>
      <c r="V9" s="7">
        <f t="shared" si="1"/>
        <v>37.068750000000001</v>
      </c>
      <c r="W9" s="54">
        <f t="shared" si="2"/>
        <v>45.306250000000006</v>
      </c>
      <c r="X9" s="9">
        <f t="shared" si="3"/>
        <v>41</v>
      </c>
      <c r="Y9" s="57">
        <f t="shared" si="4"/>
        <v>36.9</v>
      </c>
      <c r="Z9" s="60">
        <f t="shared" si="5"/>
        <v>45.1</v>
      </c>
      <c r="AB9" s="29">
        <v>55</v>
      </c>
      <c r="AC9" s="19" t="str">
        <f t="shared" si="6"/>
        <v>ES-06 (estaca 71-S)</v>
      </c>
      <c r="AD9" s="36">
        <f t="shared" si="7"/>
        <v>41</v>
      </c>
      <c r="AE9" s="41" cm="1">
        <f t="array" ref="AE9">SUMPRODUCT((AD9&gt;=$AC$47:$AC$49)*(AD9&lt;$AD$47:$AD$49)*$AE$47:$AE$49)</f>
        <v>0.6</v>
      </c>
      <c r="AF9" s="36">
        <f t="shared" si="8"/>
        <v>24.599999999999998</v>
      </c>
    </row>
    <row r="10" spans="4:32" ht="15" customHeight="1" x14ac:dyDescent="0.3">
      <c r="D10" s="11" t="s">
        <v>16</v>
      </c>
      <c r="E10" s="81">
        <v>31</v>
      </c>
      <c r="F10" s="77">
        <v>35</v>
      </c>
      <c r="G10" s="77">
        <v>36</v>
      </c>
      <c r="H10" s="77">
        <v>36</v>
      </c>
      <c r="I10" s="77">
        <v>37</v>
      </c>
      <c r="J10" s="77">
        <v>37</v>
      </c>
      <c r="K10" s="77">
        <v>38</v>
      </c>
      <c r="L10" s="77">
        <v>38</v>
      </c>
      <c r="M10" s="77">
        <v>38</v>
      </c>
      <c r="N10" s="77">
        <v>39</v>
      </c>
      <c r="O10" s="77">
        <v>39</v>
      </c>
      <c r="P10" s="77">
        <v>40</v>
      </c>
      <c r="Q10" s="77">
        <v>41</v>
      </c>
      <c r="R10" s="77">
        <v>41</v>
      </c>
      <c r="S10" s="77">
        <v>45</v>
      </c>
      <c r="T10" s="82">
        <v>46</v>
      </c>
      <c r="U10" s="72">
        <f t="shared" si="0"/>
        <v>38.5625</v>
      </c>
      <c r="V10" s="7">
        <f t="shared" si="1"/>
        <v>34.706250000000004</v>
      </c>
      <c r="W10" s="54">
        <f t="shared" si="2"/>
        <v>42.418750000000003</v>
      </c>
      <c r="X10" s="9">
        <f t="shared" si="3"/>
        <v>38.07692307692308</v>
      </c>
      <c r="Y10" s="57">
        <f t="shared" si="4"/>
        <v>34.269230769230774</v>
      </c>
      <c r="Z10" s="60">
        <f t="shared" si="5"/>
        <v>41.884615384615394</v>
      </c>
      <c r="AB10" s="30">
        <v>57</v>
      </c>
      <c r="AC10" s="19" t="str">
        <f t="shared" si="6"/>
        <v>ES-07 (estaca 71-L)</v>
      </c>
      <c r="AD10" s="36">
        <f t="shared" si="7"/>
        <v>38.07692307692308</v>
      </c>
      <c r="AE10" s="41" cm="1">
        <f t="array" ref="AE10">SUMPRODUCT((AD10&gt;=$AC$47:$AC$49)*(AD10&lt;$AD$47:$AD$49)*$AE$47:$AE$49)</f>
        <v>0.6</v>
      </c>
      <c r="AF10" s="36">
        <f t="shared" si="8"/>
        <v>22.846153846153847</v>
      </c>
    </row>
    <row r="11" spans="4:32" ht="15" customHeight="1" x14ac:dyDescent="0.3">
      <c r="D11" s="11" t="s">
        <v>17</v>
      </c>
      <c r="E11" s="81">
        <v>26</v>
      </c>
      <c r="F11" s="77">
        <v>27</v>
      </c>
      <c r="G11" s="77">
        <v>28</v>
      </c>
      <c r="H11" s="77">
        <v>29</v>
      </c>
      <c r="I11" s="77">
        <v>30</v>
      </c>
      <c r="J11" s="77">
        <v>30</v>
      </c>
      <c r="K11" s="77">
        <v>32</v>
      </c>
      <c r="L11" s="77">
        <v>32</v>
      </c>
      <c r="M11" s="77">
        <v>32</v>
      </c>
      <c r="N11" s="77">
        <v>33</v>
      </c>
      <c r="O11" s="77">
        <v>33</v>
      </c>
      <c r="P11" s="77">
        <v>34</v>
      </c>
      <c r="Q11" s="77">
        <v>35</v>
      </c>
      <c r="R11" s="77">
        <v>36</v>
      </c>
      <c r="S11" s="77">
        <v>36</v>
      </c>
      <c r="T11" s="82">
        <v>37</v>
      </c>
      <c r="U11" s="72">
        <f t="shared" si="0"/>
        <v>31.875</v>
      </c>
      <c r="V11" s="7">
        <f t="shared" si="1"/>
        <v>28.6875</v>
      </c>
      <c r="W11" s="54">
        <f t="shared" si="2"/>
        <v>35.0625</v>
      </c>
      <c r="X11" s="9">
        <f t="shared" si="3"/>
        <v>32</v>
      </c>
      <c r="Y11" s="57">
        <f t="shared" si="4"/>
        <v>28.8</v>
      </c>
      <c r="Z11" s="60">
        <f t="shared" si="5"/>
        <v>35.200000000000003</v>
      </c>
      <c r="AB11" s="30">
        <v>70</v>
      </c>
      <c r="AC11" s="19" t="str">
        <f t="shared" si="6"/>
        <v>ES-08 (estaca 60-N)</v>
      </c>
      <c r="AD11" s="36">
        <f t="shared" si="7"/>
        <v>32</v>
      </c>
      <c r="AE11" s="41" cm="1">
        <f t="array" ref="AE11">SUMPRODUCT((AD11&gt;=$AC$47:$AC$49)*(AD11&lt;$AD$47:$AD$49)*$AE$47:$AE$49)</f>
        <v>0.63</v>
      </c>
      <c r="AF11" s="36">
        <f t="shared" si="8"/>
        <v>20.16</v>
      </c>
    </row>
    <row r="12" spans="4:32" ht="15" customHeight="1" x14ac:dyDescent="0.3">
      <c r="D12" s="11" t="s">
        <v>18</v>
      </c>
      <c r="E12" s="81">
        <v>29</v>
      </c>
      <c r="F12" s="77">
        <v>30</v>
      </c>
      <c r="G12" s="77">
        <v>30</v>
      </c>
      <c r="H12" s="77">
        <v>30</v>
      </c>
      <c r="I12" s="77">
        <v>30</v>
      </c>
      <c r="J12" s="77">
        <v>31</v>
      </c>
      <c r="K12" s="77">
        <v>31</v>
      </c>
      <c r="L12" s="77">
        <v>32</v>
      </c>
      <c r="M12" s="77">
        <v>32</v>
      </c>
      <c r="N12" s="77">
        <v>32</v>
      </c>
      <c r="O12" s="77">
        <v>33</v>
      </c>
      <c r="P12" s="77">
        <v>34</v>
      </c>
      <c r="Q12" s="77">
        <v>35</v>
      </c>
      <c r="R12" s="77">
        <v>35</v>
      </c>
      <c r="S12" s="77">
        <v>36</v>
      </c>
      <c r="T12" s="82">
        <v>36</v>
      </c>
      <c r="U12" s="72">
        <f t="shared" si="0"/>
        <v>32.25</v>
      </c>
      <c r="V12" s="7">
        <f t="shared" si="1"/>
        <v>29.025000000000002</v>
      </c>
      <c r="W12" s="54">
        <f t="shared" si="2"/>
        <v>35.475000000000001</v>
      </c>
      <c r="X12" s="9">
        <f t="shared" si="3"/>
        <v>31.923076923076923</v>
      </c>
      <c r="Y12" s="57">
        <f t="shared" si="4"/>
        <v>28.73076923076923</v>
      </c>
      <c r="Z12" s="60">
        <f t="shared" si="5"/>
        <v>35.11538461538462</v>
      </c>
      <c r="AB12" s="30">
        <v>62</v>
      </c>
      <c r="AC12" s="19" t="str">
        <f t="shared" si="6"/>
        <v>ES-09 (estaca 60-O)</v>
      </c>
      <c r="AD12" s="36">
        <f t="shared" si="7"/>
        <v>31.923076923076923</v>
      </c>
      <c r="AE12" s="41" cm="1">
        <f t="array" ref="AE12">SUMPRODUCT((AD12&gt;=$AC$47:$AC$49)*(AD12&lt;$AD$47:$AD$49)*$AE$47:$AE$49)</f>
        <v>0.63</v>
      </c>
      <c r="AF12" s="36">
        <f t="shared" si="8"/>
        <v>20.111538461538462</v>
      </c>
    </row>
    <row r="13" spans="4:32" ht="15" customHeight="1" x14ac:dyDescent="0.3">
      <c r="D13" s="11" t="s">
        <v>19</v>
      </c>
      <c r="E13" s="81">
        <v>30</v>
      </c>
      <c r="F13" s="77">
        <v>30</v>
      </c>
      <c r="G13" s="77">
        <v>31</v>
      </c>
      <c r="H13" s="77">
        <v>32</v>
      </c>
      <c r="I13" s="77">
        <v>32</v>
      </c>
      <c r="J13" s="77">
        <v>32</v>
      </c>
      <c r="K13" s="77">
        <v>33</v>
      </c>
      <c r="L13" s="77">
        <v>33</v>
      </c>
      <c r="M13" s="77">
        <v>33</v>
      </c>
      <c r="N13" s="77">
        <v>34</v>
      </c>
      <c r="O13" s="77">
        <v>34</v>
      </c>
      <c r="P13" s="77">
        <v>35</v>
      </c>
      <c r="Q13" s="77">
        <v>35</v>
      </c>
      <c r="R13" s="77">
        <v>35</v>
      </c>
      <c r="S13" s="77">
        <v>37</v>
      </c>
      <c r="T13" s="82">
        <v>38</v>
      </c>
      <c r="U13" s="72">
        <f t="shared" si="0"/>
        <v>33.375</v>
      </c>
      <c r="V13" s="7">
        <f t="shared" si="1"/>
        <v>30.037500000000001</v>
      </c>
      <c r="W13" s="54">
        <f t="shared" si="2"/>
        <v>36.712500000000006</v>
      </c>
      <c r="X13" s="9">
        <f t="shared" si="3"/>
        <v>33.25</v>
      </c>
      <c r="Y13" s="57">
        <f t="shared" si="4"/>
        <v>29.925000000000001</v>
      </c>
      <c r="Z13" s="60">
        <f t="shared" si="5"/>
        <v>36.575000000000003</v>
      </c>
      <c r="AB13" s="26">
        <v>6</v>
      </c>
      <c r="AC13" s="19" t="str">
        <f t="shared" si="6"/>
        <v>ES-10 (estaca 60-S)</v>
      </c>
      <c r="AD13" s="36">
        <f t="shared" si="7"/>
        <v>33.25</v>
      </c>
      <c r="AE13" s="41" cm="1">
        <f t="array" ref="AE13">SUMPRODUCT((AD13&gt;=$AC$47:$AC$49)*(AD13&lt;$AD$47:$AD$49)*$AE$47:$AE$49)</f>
        <v>0.63</v>
      </c>
      <c r="AF13" s="36">
        <f t="shared" si="8"/>
        <v>20.947500000000002</v>
      </c>
    </row>
    <row r="14" spans="4:32" ht="15" customHeight="1" x14ac:dyDescent="0.3">
      <c r="D14" s="11" t="s">
        <v>20</v>
      </c>
      <c r="E14" s="81">
        <v>30</v>
      </c>
      <c r="F14" s="77">
        <v>30</v>
      </c>
      <c r="G14" s="77">
        <v>31</v>
      </c>
      <c r="H14" s="77">
        <v>32</v>
      </c>
      <c r="I14" s="77">
        <v>32</v>
      </c>
      <c r="J14" s="77">
        <v>32</v>
      </c>
      <c r="K14" s="77">
        <v>33</v>
      </c>
      <c r="L14" s="77">
        <v>33</v>
      </c>
      <c r="M14" s="77">
        <v>33</v>
      </c>
      <c r="N14" s="77">
        <v>33</v>
      </c>
      <c r="O14" s="77">
        <v>34</v>
      </c>
      <c r="P14" s="77">
        <v>34</v>
      </c>
      <c r="Q14" s="77">
        <v>34</v>
      </c>
      <c r="R14" s="77">
        <v>34</v>
      </c>
      <c r="S14" s="77">
        <v>37</v>
      </c>
      <c r="T14" s="82">
        <v>39</v>
      </c>
      <c r="U14" s="72">
        <f t="shared" si="0"/>
        <v>33.1875</v>
      </c>
      <c r="V14" s="7">
        <f t="shared" si="1"/>
        <v>29.868750000000002</v>
      </c>
      <c r="W14" s="54">
        <f t="shared" si="2"/>
        <v>36.506250000000001</v>
      </c>
      <c r="X14" s="9">
        <f t="shared" si="3"/>
        <v>32.5</v>
      </c>
      <c r="Y14" s="57">
        <f t="shared" si="4"/>
        <v>29.25</v>
      </c>
      <c r="Z14" s="60">
        <f t="shared" si="5"/>
        <v>35.75</v>
      </c>
      <c r="AB14" s="26">
        <v>6</v>
      </c>
      <c r="AC14" s="19" t="str">
        <f t="shared" si="6"/>
        <v>ES-11 (estaca 60-L)</v>
      </c>
      <c r="AD14" s="36">
        <f t="shared" si="7"/>
        <v>32.5</v>
      </c>
      <c r="AE14" s="41" cm="1">
        <f t="array" ref="AE14">SUMPRODUCT((AD14&gt;=$AC$47:$AC$49)*(AD14&lt;$AD$47:$AD$49)*$AE$47:$AE$49)</f>
        <v>0.63</v>
      </c>
      <c r="AF14" s="36">
        <f t="shared" si="8"/>
        <v>20.475000000000001</v>
      </c>
    </row>
    <row r="15" spans="4:32" ht="15" customHeight="1" x14ac:dyDescent="0.3">
      <c r="D15" s="11" t="s">
        <v>21</v>
      </c>
      <c r="E15" s="81">
        <v>28</v>
      </c>
      <c r="F15" s="77">
        <v>30</v>
      </c>
      <c r="G15" s="77">
        <v>30</v>
      </c>
      <c r="H15" s="77">
        <v>30</v>
      </c>
      <c r="I15" s="77">
        <v>30</v>
      </c>
      <c r="J15" s="77">
        <v>32</v>
      </c>
      <c r="K15" s="77">
        <v>32</v>
      </c>
      <c r="L15" s="77">
        <v>32</v>
      </c>
      <c r="M15" s="77">
        <v>32</v>
      </c>
      <c r="N15" s="77">
        <v>32</v>
      </c>
      <c r="O15" s="77">
        <v>32</v>
      </c>
      <c r="P15" s="77">
        <v>33</v>
      </c>
      <c r="Q15" s="77">
        <v>33</v>
      </c>
      <c r="R15" s="77">
        <v>37</v>
      </c>
      <c r="S15" s="77">
        <v>39</v>
      </c>
      <c r="T15" s="82">
        <v>40</v>
      </c>
      <c r="U15" s="72">
        <f t="shared" si="0"/>
        <v>32.625</v>
      </c>
      <c r="V15" s="7">
        <f t="shared" si="1"/>
        <v>29.362500000000001</v>
      </c>
      <c r="W15" s="54">
        <f t="shared" si="2"/>
        <v>35.887500000000003</v>
      </c>
      <c r="X15" s="9">
        <f t="shared" si="3"/>
        <v>31.5</v>
      </c>
      <c r="Y15" s="57">
        <f t="shared" si="4"/>
        <v>28.35</v>
      </c>
      <c r="Z15" s="60">
        <f t="shared" si="5"/>
        <v>34.650000000000006</v>
      </c>
      <c r="AB15" s="28">
        <v>64.8</v>
      </c>
      <c r="AC15" s="19" t="str">
        <f t="shared" si="6"/>
        <v>ES-12 (estaca 44-N)</v>
      </c>
      <c r="AD15" s="36">
        <f t="shared" si="7"/>
        <v>31.5</v>
      </c>
      <c r="AE15" s="41" cm="1">
        <f t="array" ref="AE15">SUMPRODUCT((AD15&gt;=$AC$47:$AC$49)*(AD15&lt;$AD$47:$AD$49)*$AE$47:$AE$49)</f>
        <v>0.63</v>
      </c>
      <c r="AF15" s="36">
        <f t="shared" si="8"/>
        <v>19.844999999999999</v>
      </c>
    </row>
    <row r="16" spans="4:32" ht="15" customHeight="1" x14ac:dyDescent="0.3">
      <c r="D16" s="11" t="s">
        <v>22</v>
      </c>
      <c r="E16" s="81">
        <v>25</v>
      </c>
      <c r="F16" s="77">
        <v>29</v>
      </c>
      <c r="G16" s="77">
        <v>30</v>
      </c>
      <c r="H16" s="77">
        <v>32</v>
      </c>
      <c r="I16" s="77">
        <v>32</v>
      </c>
      <c r="J16" s="77">
        <v>32</v>
      </c>
      <c r="K16" s="77">
        <v>32</v>
      </c>
      <c r="L16" s="77">
        <v>32</v>
      </c>
      <c r="M16" s="77">
        <v>32</v>
      </c>
      <c r="N16" s="77">
        <v>32</v>
      </c>
      <c r="O16" s="77">
        <v>32</v>
      </c>
      <c r="P16" s="77">
        <v>33</v>
      </c>
      <c r="Q16" s="77">
        <v>34</v>
      </c>
      <c r="R16" s="77">
        <v>34</v>
      </c>
      <c r="S16" s="77">
        <v>35</v>
      </c>
      <c r="T16" s="82">
        <v>38</v>
      </c>
      <c r="U16" s="72">
        <f t="shared" si="0"/>
        <v>32.125</v>
      </c>
      <c r="V16" s="7">
        <f t="shared" si="1"/>
        <v>28.912500000000001</v>
      </c>
      <c r="W16" s="54">
        <f t="shared" si="2"/>
        <v>35.337500000000006</v>
      </c>
      <c r="X16" s="9">
        <f t="shared" si="3"/>
        <v>32.214285714285715</v>
      </c>
      <c r="Y16" s="57">
        <f t="shared" si="4"/>
        <v>28.992857142857144</v>
      </c>
      <c r="Z16" s="60">
        <f t="shared" si="5"/>
        <v>35.43571428571429</v>
      </c>
      <c r="AB16" s="26">
        <v>6</v>
      </c>
      <c r="AC16" s="19" t="str">
        <f t="shared" si="6"/>
        <v>ES-13 (estaca 44-O)</v>
      </c>
      <c r="AD16" s="36">
        <f t="shared" si="7"/>
        <v>32.214285714285715</v>
      </c>
      <c r="AE16" s="41" cm="1">
        <f t="array" ref="AE16">SUMPRODUCT((AD16&gt;=$AC$47:$AC$49)*(AD16&lt;$AD$47:$AD$49)*$AE$47:$AE$49)</f>
        <v>0.63</v>
      </c>
      <c r="AF16" s="36">
        <f t="shared" si="8"/>
        <v>20.295000000000002</v>
      </c>
    </row>
    <row r="17" spans="4:32" ht="15" customHeight="1" x14ac:dyDescent="0.3">
      <c r="D17" s="11" t="s">
        <v>23</v>
      </c>
      <c r="E17" s="81">
        <v>29</v>
      </c>
      <c r="F17" s="77">
        <v>30</v>
      </c>
      <c r="G17" s="77">
        <v>30</v>
      </c>
      <c r="H17" s="77">
        <v>30</v>
      </c>
      <c r="I17" s="77">
        <v>31</v>
      </c>
      <c r="J17" s="77">
        <v>31</v>
      </c>
      <c r="K17" s="77">
        <v>32</v>
      </c>
      <c r="L17" s="77">
        <v>32</v>
      </c>
      <c r="M17" s="77">
        <v>33</v>
      </c>
      <c r="N17" s="77">
        <v>33</v>
      </c>
      <c r="O17" s="77">
        <v>34</v>
      </c>
      <c r="P17" s="77">
        <v>34</v>
      </c>
      <c r="Q17" s="77">
        <v>35</v>
      </c>
      <c r="R17" s="77">
        <v>35</v>
      </c>
      <c r="S17" s="77">
        <v>38</v>
      </c>
      <c r="T17" s="82">
        <v>47</v>
      </c>
      <c r="U17" s="72">
        <f t="shared" si="0"/>
        <v>33.375</v>
      </c>
      <c r="V17" s="7">
        <f t="shared" si="1"/>
        <v>30.037500000000001</v>
      </c>
      <c r="W17" s="54">
        <f t="shared" si="2"/>
        <v>36.712500000000006</v>
      </c>
      <c r="X17" s="9">
        <f t="shared" si="3"/>
        <v>33</v>
      </c>
      <c r="Y17" s="57">
        <f t="shared" si="4"/>
        <v>29.7</v>
      </c>
      <c r="Z17" s="60">
        <f t="shared" si="5"/>
        <v>36.300000000000004</v>
      </c>
      <c r="AB17" s="26">
        <v>6</v>
      </c>
      <c r="AC17" s="19" t="str">
        <f t="shared" si="6"/>
        <v>ES-14 (estaca 44-S)</v>
      </c>
      <c r="AD17" s="36">
        <f t="shared" si="7"/>
        <v>33</v>
      </c>
      <c r="AE17" s="41" cm="1">
        <f t="array" ref="AE17">SUMPRODUCT((AD17&gt;=$AC$47:$AC$49)*(AD17&lt;$AD$47:$AD$49)*$AE$47:$AE$49)</f>
        <v>0.63</v>
      </c>
      <c r="AF17" s="36">
        <f t="shared" si="8"/>
        <v>20.79</v>
      </c>
    </row>
    <row r="18" spans="4:32" ht="15" customHeight="1" x14ac:dyDescent="0.3">
      <c r="D18" s="11" t="s">
        <v>24</v>
      </c>
      <c r="E18" s="81">
        <v>26</v>
      </c>
      <c r="F18" s="77">
        <v>29</v>
      </c>
      <c r="G18" s="77">
        <v>29</v>
      </c>
      <c r="H18" s="77">
        <v>29</v>
      </c>
      <c r="I18" s="77">
        <v>29</v>
      </c>
      <c r="J18" s="77">
        <v>29</v>
      </c>
      <c r="K18" s="77">
        <v>30</v>
      </c>
      <c r="L18" s="77">
        <v>30</v>
      </c>
      <c r="M18" s="77">
        <v>30</v>
      </c>
      <c r="N18" s="77">
        <v>30</v>
      </c>
      <c r="O18" s="77">
        <v>30</v>
      </c>
      <c r="P18" s="77">
        <v>31</v>
      </c>
      <c r="Q18" s="77">
        <v>32</v>
      </c>
      <c r="R18" s="77">
        <v>33</v>
      </c>
      <c r="S18" s="77">
        <v>34</v>
      </c>
      <c r="T18" s="82">
        <v>36</v>
      </c>
      <c r="U18" s="72">
        <f t="shared" si="0"/>
        <v>30.4375</v>
      </c>
      <c r="V18" s="7">
        <f t="shared" si="1"/>
        <v>27.393750000000001</v>
      </c>
      <c r="W18" s="54">
        <f t="shared" si="2"/>
        <v>33.481250000000003</v>
      </c>
      <c r="X18" s="9">
        <f t="shared" si="3"/>
        <v>30.076923076923077</v>
      </c>
      <c r="Y18" s="57">
        <f t="shared" si="4"/>
        <v>27.069230769230771</v>
      </c>
      <c r="Z18" s="60">
        <f t="shared" si="5"/>
        <v>33.08461538461539</v>
      </c>
      <c r="AB18" s="26">
        <v>6</v>
      </c>
      <c r="AC18" s="19" t="str">
        <f t="shared" si="6"/>
        <v>ES-15 (estaca 44-L)</v>
      </c>
      <c r="AD18" s="36">
        <f t="shared" si="7"/>
        <v>30.076923076923077</v>
      </c>
      <c r="AE18" s="41" cm="1">
        <f t="array" ref="AE18">SUMPRODUCT((AD18&gt;=$AC$47:$AC$49)*(AD18&lt;$AD$47:$AD$49)*$AE$47:$AE$49)</f>
        <v>0.63</v>
      </c>
      <c r="AF18" s="36">
        <f t="shared" si="8"/>
        <v>18.948461538461537</v>
      </c>
    </row>
    <row r="19" spans="4:32" ht="15" customHeight="1" x14ac:dyDescent="0.3">
      <c r="D19" s="11" t="s">
        <v>164</v>
      </c>
      <c r="E19" s="81">
        <v>20</v>
      </c>
      <c r="F19" s="77">
        <v>30</v>
      </c>
      <c r="G19" s="77">
        <v>31</v>
      </c>
      <c r="H19" s="77">
        <v>31</v>
      </c>
      <c r="I19" s="77">
        <v>31</v>
      </c>
      <c r="J19" s="77">
        <v>32</v>
      </c>
      <c r="K19" s="77">
        <v>32</v>
      </c>
      <c r="L19" s="77">
        <v>32</v>
      </c>
      <c r="M19" s="77">
        <v>32</v>
      </c>
      <c r="N19" s="77">
        <v>32</v>
      </c>
      <c r="O19" s="77">
        <v>32</v>
      </c>
      <c r="P19" s="77">
        <v>32</v>
      </c>
      <c r="Q19" s="77">
        <v>34</v>
      </c>
      <c r="R19" s="77">
        <v>34</v>
      </c>
      <c r="S19" s="77">
        <v>36</v>
      </c>
      <c r="T19" s="82">
        <v>38</v>
      </c>
      <c r="U19" s="72">
        <f t="shared" si="0"/>
        <v>31.8125</v>
      </c>
      <c r="V19" s="7">
        <f t="shared" si="1"/>
        <v>28.631250000000001</v>
      </c>
      <c r="W19" s="54">
        <f t="shared" si="2"/>
        <v>34.993750000000006</v>
      </c>
      <c r="X19" s="9">
        <f t="shared" si="3"/>
        <v>31.923076923076923</v>
      </c>
      <c r="Y19" s="57">
        <f t="shared" si="4"/>
        <v>28.73076923076923</v>
      </c>
      <c r="Z19" s="60">
        <f t="shared" si="5"/>
        <v>35.11538461538462</v>
      </c>
      <c r="AB19" s="28">
        <v>65.8</v>
      </c>
      <c r="AC19" s="43" t="str">
        <f t="shared" si="6"/>
        <v>ES-16b (estaca 24-N)</v>
      </c>
      <c r="AD19" s="44">
        <f>X19</f>
        <v>31.923076923076923</v>
      </c>
      <c r="AE19" s="41" cm="1">
        <f t="array" ref="AE19">SUMPRODUCT((AD19&gt;=$AC$47:$AC$49)*(AD19&lt;$AD$47:$AD$49)*$AE$47:$AE$49)</f>
        <v>0.63</v>
      </c>
      <c r="AF19" s="44">
        <f t="shared" si="8"/>
        <v>20.111538461538462</v>
      </c>
    </row>
    <row r="20" spans="4:32" ht="15" customHeight="1" x14ac:dyDescent="0.3">
      <c r="D20" s="11" t="s">
        <v>163</v>
      </c>
      <c r="E20" s="81">
        <v>32</v>
      </c>
      <c r="F20" s="77">
        <v>32</v>
      </c>
      <c r="G20" s="77">
        <v>33</v>
      </c>
      <c r="H20" s="77">
        <v>33</v>
      </c>
      <c r="I20" s="77">
        <v>33</v>
      </c>
      <c r="J20" s="77">
        <v>34</v>
      </c>
      <c r="K20" s="77">
        <v>34</v>
      </c>
      <c r="L20" s="77">
        <v>34</v>
      </c>
      <c r="M20" s="77">
        <v>34</v>
      </c>
      <c r="N20" s="77">
        <v>34</v>
      </c>
      <c r="O20" s="77">
        <v>35</v>
      </c>
      <c r="P20" s="77">
        <v>35</v>
      </c>
      <c r="Q20" s="77">
        <v>36</v>
      </c>
      <c r="R20" s="77">
        <v>36</v>
      </c>
      <c r="S20" s="77">
        <v>40</v>
      </c>
      <c r="T20" s="82">
        <v>42</v>
      </c>
      <c r="U20" s="72">
        <f>AVERAGE(E20:T20)</f>
        <v>34.8125</v>
      </c>
      <c r="V20" s="7">
        <f t="shared" si="1"/>
        <v>31.331250000000001</v>
      </c>
      <c r="W20" s="54">
        <f t="shared" si="2"/>
        <v>38.293750000000003</v>
      </c>
      <c r="X20" s="9">
        <f>AVERAGEIFS(E20:T20,E20:T20,"&gt;"&amp;V20, E20:T20, "&lt;"&amp;W20)</f>
        <v>33.928571428571431</v>
      </c>
      <c r="Y20" s="57">
        <f t="shared" si="4"/>
        <v>30.535714285714288</v>
      </c>
      <c r="Z20" s="60">
        <f t="shared" si="5"/>
        <v>37.321428571428577</v>
      </c>
      <c r="AB20" s="26">
        <v>6</v>
      </c>
      <c r="AC20" s="43" t="str">
        <f t="shared" si="6"/>
        <v>ES-17b (estaca 24-S)</v>
      </c>
      <c r="AD20" s="44">
        <f t="shared" si="7"/>
        <v>33.928571428571431</v>
      </c>
      <c r="AE20" s="41" cm="1">
        <f t="array" ref="AE20">SUMPRODUCT((AD20&gt;=$AC$47:$AC$49)*(AD20&lt;$AD$47:$AD$49)*$AE$47:$AE$49)</f>
        <v>0.63</v>
      </c>
      <c r="AF20" s="44">
        <f t="shared" si="8"/>
        <v>21.375</v>
      </c>
    </row>
    <row r="21" spans="4:32" ht="15" customHeight="1" x14ac:dyDescent="0.3">
      <c r="D21" s="11" t="s">
        <v>27</v>
      </c>
      <c r="E21" s="81">
        <v>30</v>
      </c>
      <c r="F21" s="77">
        <v>32</v>
      </c>
      <c r="G21" s="77">
        <v>32</v>
      </c>
      <c r="H21" s="77">
        <v>32</v>
      </c>
      <c r="I21" s="77">
        <v>32</v>
      </c>
      <c r="J21" s="77">
        <v>33</v>
      </c>
      <c r="K21" s="77">
        <v>33</v>
      </c>
      <c r="L21" s="77">
        <v>34</v>
      </c>
      <c r="M21" s="77">
        <v>34</v>
      </c>
      <c r="N21" s="77">
        <v>34</v>
      </c>
      <c r="O21" s="77">
        <v>34</v>
      </c>
      <c r="P21" s="77">
        <v>36</v>
      </c>
      <c r="Q21" s="77">
        <v>36</v>
      </c>
      <c r="R21" s="77">
        <v>37</v>
      </c>
      <c r="S21" s="77">
        <v>37</v>
      </c>
      <c r="T21" s="82">
        <v>41</v>
      </c>
      <c r="U21" s="72">
        <f t="shared" si="0"/>
        <v>34.1875</v>
      </c>
      <c r="V21" s="7">
        <f t="shared" si="1"/>
        <v>30.768750000000001</v>
      </c>
      <c r="W21" s="54">
        <f t="shared" si="2"/>
        <v>37.606250000000003</v>
      </c>
      <c r="X21" s="9">
        <f t="shared" si="3"/>
        <v>34</v>
      </c>
      <c r="Y21" s="57">
        <f t="shared" si="4"/>
        <v>30.6</v>
      </c>
      <c r="Z21" s="60">
        <f t="shared" si="5"/>
        <v>37.400000000000006</v>
      </c>
      <c r="AB21" s="26">
        <v>6</v>
      </c>
      <c r="AC21" s="19" t="str">
        <f t="shared" si="6"/>
        <v>ES-18 (estaca 24-L)</v>
      </c>
      <c r="AD21" s="36">
        <f t="shared" si="7"/>
        <v>34</v>
      </c>
      <c r="AE21" s="41" cm="1">
        <f t="array" ref="AE21">SUMPRODUCT((AD21&gt;=$AC$47:$AC$49)*(AD21&lt;$AD$47:$AD$49)*$AE$47:$AE$49)</f>
        <v>0.6</v>
      </c>
      <c r="AF21" s="36">
        <f t="shared" si="8"/>
        <v>20.399999999999999</v>
      </c>
    </row>
    <row r="22" spans="4:32" ht="15" customHeight="1" x14ac:dyDescent="0.3">
      <c r="D22" s="11" t="s">
        <v>28</v>
      </c>
      <c r="E22" s="81">
        <v>30</v>
      </c>
      <c r="F22" s="77">
        <v>31</v>
      </c>
      <c r="G22" s="77">
        <v>32</v>
      </c>
      <c r="H22" s="77">
        <v>32</v>
      </c>
      <c r="I22" s="77">
        <v>33</v>
      </c>
      <c r="J22" s="77">
        <v>34</v>
      </c>
      <c r="K22" s="77">
        <v>34</v>
      </c>
      <c r="L22" s="77">
        <v>34</v>
      </c>
      <c r="M22" s="77">
        <v>35</v>
      </c>
      <c r="N22" s="77">
        <v>35</v>
      </c>
      <c r="O22" s="77">
        <v>36</v>
      </c>
      <c r="P22" s="77">
        <v>36</v>
      </c>
      <c r="Q22" s="77">
        <v>36</v>
      </c>
      <c r="R22" s="77">
        <v>36</v>
      </c>
      <c r="S22" s="77">
        <v>36</v>
      </c>
      <c r="T22" s="82">
        <v>40</v>
      </c>
      <c r="U22" s="72">
        <f t="shared" si="0"/>
        <v>34.375</v>
      </c>
      <c r="V22" s="7">
        <f t="shared" si="1"/>
        <v>30.9375</v>
      </c>
      <c r="W22" s="54">
        <f t="shared" si="2"/>
        <v>37.8125</v>
      </c>
      <c r="X22" s="9">
        <f t="shared" si="3"/>
        <v>34.285714285714285</v>
      </c>
      <c r="Y22" s="57">
        <f t="shared" si="4"/>
        <v>30.857142857142858</v>
      </c>
      <c r="Z22" s="60">
        <f t="shared" si="5"/>
        <v>37.714285714285715</v>
      </c>
      <c r="AB22" s="31">
        <v>51.3</v>
      </c>
      <c r="AC22" s="19" t="str">
        <f t="shared" si="6"/>
        <v>ES-19 (capitel estaca 71-N)</v>
      </c>
      <c r="AD22" s="36">
        <f t="shared" si="7"/>
        <v>34.285714285714285</v>
      </c>
      <c r="AE22" s="41" cm="1">
        <f t="array" ref="AE22">SUMPRODUCT((AD22&gt;=$AC$47:$AC$49)*(AD22&lt;$AD$47:$AD$49)*$AE$47:$AE$49)</f>
        <v>0.6</v>
      </c>
      <c r="AF22" s="36">
        <f t="shared" si="8"/>
        <v>20.571428571428569</v>
      </c>
    </row>
    <row r="23" spans="4:32" ht="15" customHeight="1" x14ac:dyDescent="0.3">
      <c r="D23" s="11" t="s">
        <v>29</v>
      </c>
      <c r="E23" s="81">
        <v>33</v>
      </c>
      <c r="F23" s="77">
        <v>34</v>
      </c>
      <c r="G23" s="77">
        <v>35</v>
      </c>
      <c r="H23" s="77">
        <v>35</v>
      </c>
      <c r="I23" s="77">
        <v>35</v>
      </c>
      <c r="J23" s="77">
        <v>36</v>
      </c>
      <c r="K23" s="77">
        <v>36</v>
      </c>
      <c r="L23" s="77">
        <v>36</v>
      </c>
      <c r="M23" s="77">
        <v>36</v>
      </c>
      <c r="N23" s="77">
        <v>36</v>
      </c>
      <c r="O23" s="77">
        <v>37</v>
      </c>
      <c r="P23" s="77">
        <v>38</v>
      </c>
      <c r="Q23" s="77">
        <v>38</v>
      </c>
      <c r="R23" s="77">
        <v>39</v>
      </c>
      <c r="S23" s="77">
        <v>39</v>
      </c>
      <c r="T23" s="82">
        <v>40</v>
      </c>
      <c r="U23" s="72">
        <f t="shared" si="0"/>
        <v>36.4375</v>
      </c>
      <c r="V23" s="7">
        <f t="shared" si="1"/>
        <v>32.793750000000003</v>
      </c>
      <c r="W23" s="54">
        <f t="shared" si="2"/>
        <v>40.081250000000004</v>
      </c>
      <c r="X23" s="9">
        <f t="shared" si="3"/>
        <v>36.4375</v>
      </c>
      <c r="Y23" s="57">
        <f t="shared" si="4"/>
        <v>32.793750000000003</v>
      </c>
      <c r="Z23" s="60">
        <f t="shared" si="5"/>
        <v>40.081250000000004</v>
      </c>
      <c r="AB23" s="26">
        <v>6</v>
      </c>
      <c r="AC23" s="19" t="str">
        <f t="shared" si="6"/>
        <v>ES-20 (capitel estaca 71-S)</v>
      </c>
      <c r="AD23" s="36">
        <f t="shared" si="7"/>
        <v>36.4375</v>
      </c>
      <c r="AE23" s="41" cm="1">
        <f t="array" ref="AE23">SUMPRODUCT((AD23&gt;=$AC$47:$AC$49)*(AD23&lt;$AD$47:$AD$49)*$AE$47:$AE$49)</f>
        <v>0.6</v>
      </c>
      <c r="AF23" s="36">
        <f t="shared" si="8"/>
        <v>21.862500000000001</v>
      </c>
    </row>
    <row r="24" spans="4:32" x14ac:dyDescent="0.3">
      <c r="D24" s="11" t="s">
        <v>30</v>
      </c>
      <c r="E24" s="81">
        <v>32</v>
      </c>
      <c r="F24" s="77">
        <v>33</v>
      </c>
      <c r="G24" s="77">
        <v>33</v>
      </c>
      <c r="H24" s="77">
        <v>33</v>
      </c>
      <c r="I24" s="77">
        <v>34</v>
      </c>
      <c r="J24" s="77">
        <v>34</v>
      </c>
      <c r="K24" s="77">
        <v>34</v>
      </c>
      <c r="L24" s="77">
        <v>35</v>
      </c>
      <c r="M24" s="77">
        <v>36</v>
      </c>
      <c r="N24" s="77">
        <v>37</v>
      </c>
      <c r="O24" s="77">
        <v>37</v>
      </c>
      <c r="P24" s="77">
        <v>37</v>
      </c>
      <c r="Q24" s="77">
        <v>37</v>
      </c>
      <c r="R24" s="77">
        <v>38</v>
      </c>
      <c r="S24" s="77">
        <v>38</v>
      </c>
      <c r="T24" s="82">
        <v>39</v>
      </c>
      <c r="U24" s="72">
        <f t="shared" si="0"/>
        <v>35.4375</v>
      </c>
      <c r="V24" s="7">
        <f t="shared" si="1"/>
        <v>31.893750000000001</v>
      </c>
      <c r="W24" s="54">
        <f t="shared" si="2"/>
        <v>38.981250000000003</v>
      </c>
      <c r="X24" s="9">
        <f t="shared" si="3"/>
        <v>35.200000000000003</v>
      </c>
      <c r="Y24" s="57">
        <f t="shared" si="4"/>
        <v>31.680000000000003</v>
      </c>
      <c r="Z24" s="60">
        <f t="shared" si="5"/>
        <v>38.720000000000006</v>
      </c>
      <c r="AB24" s="28">
        <v>42.8</v>
      </c>
      <c r="AC24" s="19" t="str">
        <f t="shared" si="6"/>
        <v>ES-21 (capitel estaca 60-N)</v>
      </c>
      <c r="AD24" s="36">
        <f t="shared" si="7"/>
        <v>35.200000000000003</v>
      </c>
      <c r="AE24" s="41" cm="1">
        <f t="array" ref="AE24">SUMPRODUCT((AD24&gt;=$AC$47:$AC$49)*(AD24&lt;$AD$47:$AD$49)*$AE$47:$AE$49)</f>
        <v>0.6</v>
      </c>
      <c r="AF24" s="36">
        <f t="shared" si="8"/>
        <v>21.12</v>
      </c>
    </row>
    <row r="25" spans="4:32" x14ac:dyDescent="0.3">
      <c r="D25" s="98" t="s">
        <v>31</v>
      </c>
      <c r="E25" s="81">
        <v>37</v>
      </c>
      <c r="F25" s="77">
        <v>39</v>
      </c>
      <c r="G25" s="77">
        <v>40</v>
      </c>
      <c r="H25" s="77">
        <v>41</v>
      </c>
      <c r="I25" s="77">
        <v>42</v>
      </c>
      <c r="J25" s="77">
        <v>42</v>
      </c>
      <c r="K25" s="77">
        <v>42</v>
      </c>
      <c r="L25" s="77">
        <v>42</v>
      </c>
      <c r="M25" s="77">
        <v>43</v>
      </c>
      <c r="N25" s="77">
        <v>43</v>
      </c>
      <c r="O25" s="77">
        <v>43</v>
      </c>
      <c r="P25" s="77">
        <v>43</v>
      </c>
      <c r="Q25" s="77">
        <v>44</v>
      </c>
      <c r="R25" s="77">
        <v>44</v>
      </c>
      <c r="S25" s="77">
        <v>44</v>
      </c>
      <c r="T25" s="82">
        <v>44</v>
      </c>
      <c r="U25" s="99">
        <f t="shared" si="0"/>
        <v>42.0625</v>
      </c>
      <c r="V25" s="100">
        <f t="shared" si="1"/>
        <v>37.856250000000003</v>
      </c>
      <c r="W25" s="101">
        <f t="shared" si="2"/>
        <v>46.268750000000004</v>
      </c>
      <c r="X25" s="102">
        <f t="shared" si="3"/>
        <v>42.4</v>
      </c>
      <c r="Y25" s="103">
        <f t="shared" si="4"/>
        <v>38.159999999999997</v>
      </c>
      <c r="Z25" s="104">
        <f t="shared" si="5"/>
        <v>46.64</v>
      </c>
      <c r="AB25" s="28">
        <v>52.8</v>
      </c>
      <c r="AC25" s="19" t="str">
        <f t="shared" si="6"/>
        <v>ES-22 (fundo da laje-PLE 02)</v>
      </c>
      <c r="AD25" s="36">
        <f t="shared" si="7"/>
        <v>42.4</v>
      </c>
      <c r="AE25" s="41" cm="1">
        <f t="array" ref="AE25">SUMPRODUCT((AD25&gt;=$AC$47:$AC$49)*(AD25&lt;$AD$47:$AD$49)*$AE$47:$AE$49)</f>
        <v>0.6</v>
      </c>
      <c r="AF25" s="42">
        <f t="shared" si="8"/>
        <v>25.439999999999998</v>
      </c>
    </row>
    <row r="26" spans="4:32" hidden="1" x14ac:dyDescent="0.3">
      <c r="D26" s="94" t="s">
        <v>165</v>
      </c>
      <c r="E26" s="81">
        <v>29</v>
      </c>
      <c r="F26" s="77">
        <v>31</v>
      </c>
      <c r="G26" s="77">
        <v>31</v>
      </c>
      <c r="H26" s="77">
        <v>31</v>
      </c>
      <c r="I26" s="77">
        <v>31</v>
      </c>
      <c r="J26" s="77">
        <v>31</v>
      </c>
      <c r="K26" s="77">
        <v>31</v>
      </c>
      <c r="L26" s="77">
        <v>32</v>
      </c>
      <c r="M26" s="77">
        <v>33</v>
      </c>
      <c r="N26" s="77">
        <v>33</v>
      </c>
      <c r="O26" s="77">
        <v>34</v>
      </c>
      <c r="P26" s="77">
        <v>35</v>
      </c>
      <c r="Q26" s="77">
        <v>37</v>
      </c>
      <c r="R26" s="77">
        <v>39</v>
      </c>
      <c r="S26" s="77">
        <v>41</v>
      </c>
      <c r="T26" s="82">
        <v>48</v>
      </c>
      <c r="U26" s="71">
        <f>AVERAGE(E26:T26)</f>
        <v>34.1875</v>
      </c>
      <c r="V26" s="13">
        <f>U26*0.9</f>
        <v>30.768750000000001</v>
      </c>
      <c r="W26" s="53">
        <f>U26*1.1</f>
        <v>37.606250000000003</v>
      </c>
      <c r="X26" s="14">
        <f>AVERAGEIFS(E26:T26,E26:T26,"&gt;"&amp;V26, E26:T26, "&lt;"&amp;W26)</f>
        <v>32.5</v>
      </c>
      <c r="Y26" s="56">
        <f>X26*0.9</f>
        <v>29.25</v>
      </c>
      <c r="Z26" s="59">
        <f t="shared" si="5"/>
        <v>35.75</v>
      </c>
      <c r="AB26" s="26">
        <v>65.8</v>
      </c>
      <c r="AC26" s="43" t="str">
        <f>D26</f>
        <v>ES-17a (estaca 24-S)</v>
      </c>
      <c r="AD26" s="44">
        <f t="shared" si="7"/>
        <v>32.5</v>
      </c>
      <c r="AE26" s="41" cm="1">
        <f t="array" ref="AE26">SUMPRODUCT((AD26&gt;=$AC$47:$AC$49)*(AD26&lt;$AD$47:$AD$49)*$AE$47:$AE$49)</f>
        <v>0.63</v>
      </c>
      <c r="AF26" s="44">
        <f t="shared" si="8"/>
        <v>20.475000000000001</v>
      </c>
    </row>
    <row r="27" spans="4:32" hidden="1" x14ac:dyDescent="0.3">
      <c r="D27" s="11" t="s">
        <v>166</v>
      </c>
      <c r="E27" s="81">
        <v>30</v>
      </c>
      <c r="F27" s="77">
        <v>31</v>
      </c>
      <c r="G27" s="77">
        <v>32</v>
      </c>
      <c r="H27" s="77">
        <v>32</v>
      </c>
      <c r="I27" s="77">
        <v>33</v>
      </c>
      <c r="J27" s="77">
        <v>33</v>
      </c>
      <c r="K27" s="77">
        <v>34</v>
      </c>
      <c r="L27" s="77">
        <v>34</v>
      </c>
      <c r="M27" s="77">
        <v>34</v>
      </c>
      <c r="N27" s="77">
        <v>34</v>
      </c>
      <c r="O27" s="77">
        <v>35</v>
      </c>
      <c r="P27" s="77">
        <v>35</v>
      </c>
      <c r="Q27" s="77">
        <v>36</v>
      </c>
      <c r="R27" s="77">
        <v>37</v>
      </c>
      <c r="S27" s="77">
        <v>38</v>
      </c>
      <c r="T27" s="82">
        <v>45</v>
      </c>
      <c r="U27" s="72">
        <f t="shared" si="0"/>
        <v>34.5625</v>
      </c>
      <c r="V27" s="7">
        <f t="shared" si="1"/>
        <v>31.106249999999999</v>
      </c>
      <c r="W27" s="54">
        <f t="shared" si="2"/>
        <v>38.018750000000004</v>
      </c>
      <c r="X27" s="9">
        <f t="shared" si="3"/>
        <v>34.384615384615387</v>
      </c>
      <c r="Y27" s="57">
        <f t="shared" si="4"/>
        <v>30.946153846153848</v>
      </c>
      <c r="Z27" s="60">
        <f t="shared" si="5"/>
        <v>37.823076923076925</v>
      </c>
      <c r="AB27" s="26">
        <v>6</v>
      </c>
      <c r="AC27" s="43" t="str">
        <f t="shared" si="6"/>
        <v>ES-16a (estaca 24-N)</v>
      </c>
      <c r="AD27" s="44">
        <f t="shared" si="7"/>
        <v>34.384615384615387</v>
      </c>
      <c r="AE27" s="41" cm="1">
        <f t="array" ref="AE27">SUMPRODUCT((AD27&gt;=$AC$47:$AC$49)*(AD27&lt;$AD$47:$AD$49)*$AE$47:$AE$49)</f>
        <v>0.6</v>
      </c>
      <c r="AF27" s="44">
        <f t="shared" si="8"/>
        <v>20.630769230769232</v>
      </c>
    </row>
    <row r="28" spans="4:32" x14ac:dyDescent="0.3">
      <c r="D28" s="11" t="s">
        <v>158</v>
      </c>
      <c r="E28" s="81">
        <v>38</v>
      </c>
      <c r="F28" s="77">
        <v>39</v>
      </c>
      <c r="G28" s="77">
        <v>40</v>
      </c>
      <c r="H28" s="77">
        <v>41</v>
      </c>
      <c r="I28" s="77">
        <v>42</v>
      </c>
      <c r="J28" s="77">
        <v>42</v>
      </c>
      <c r="K28" s="77">
        <v>42</v>
      </c>
      <c r="L28" s="77">
        <v>43</v>
      </c>
      <c r="M28" s="77">
        <v>43</v>
      </c>
      <c r="N28" s="77">
        <v>43</v>
      </c>
      <c r="O28" s="77">
        <v>43</v>
      </c>
      <c r="P28" s="77">
        <v>44</v>
      </c>
      <c r="Q28" s="77">
        <v>44</v>
      </c>
      <c r="R28" s="77">
        <v>45</v>
      </c>
      <c r="S28" s="77">
        <v>46</v>
      </c>
      <c r="T28" s="82">
        <v>47</v>
      </c>
      <c r="U28" s="72">
        <f t="shared" si="0"/>
        <v>42.625</v>
      </c>
      <c r="V28" s="7">
        <f t="shared" si="1"/>
        <v>38.362500000000004</v>
      </c>
      <c r="W28" s="54">
        <f t="shared" si="2"/>
        <v>46.887500000000003</v>
      </c>
      <c r="X28" s="9">
        <f t="shared" si="3"/>
        <v>42.642857142857146</v>
      </c>
      <c r="Y28" s="57">
        <f t="shared" si="4"/>
        <v>38.378571428571433</v>
      </c>
      <c r="Z28" s="60">
        <f t="shared" si="5"/>
        <v>46.907142857142865</v>
      </c>
      <c r="AB28" s="26">
        <v>6</v>
      </c>
      <c r="AC28" s="43" t="str">
        <f t="shared" si="6"/>
        <v>ES-23 (bloco de fundação-CP08)</v>
      </c>
      <c r="AD28" s="44">
        <f t="shared" si="7"/>
        <v>42.642857142857146</v>
      </c>
      <c r="AE28" s="41" cm="1">
        <f t="array" ref="AE28">SUMPRODUCT((AD28&gt;=$AC$47:$AC$49)*(AD28&lt;$AD$47:$AD$49)*$AE$47:$AE$49)</f>
        <v>0.6</v>
      </c>
      <c r="AF28" s="44">
        <f t="shared" si="8"/>
        <v>25.585714285714285</v>
      </c>
    </row>
    <row r="29" spans="4:32" ht="15" customHeight="1" x14ac:dyDescent="0.3">
      <c r="D29" s="11" t="s">
        <v>159</v>
      </c>
      <c r="E29" s="81">
        <v>42</v>
      </c>
      <c r="F29" s="77">
        <v>46</v>
      </c>
      <c r="G29" s="77">
        <v>46</v>
      </c>
      <c r="H29" s="77">
        <v>46</v>
      </c>
      <c r="I29" s="77">
        <v>46</v>
      </c>
      <c r="J29" s="77">
        <v>47</v>
      </c>
      <c r="K29" s="77">
        <v>47</v>
      </c>
      <c r="L29" s="77">
        <v>48</v>
      </c>
      <c r="M29" s="77">
        <v>48</v>
      </c>
      <c r="N29" s="77">
        <v>48</v>
      </c>
      <c r="O29" s="77">
        <v>48</v>
      </c>
      <c r="P29" s="77">
        <v>48</v>
      </c>
      <c r="Q29" s="77">
        <v>49</v>
      </c>
      <c r="R29" s="77">
        <v>50</v>
      </c>
      <c r="S29" s="77">
        <v>50</v>
      </c>
      <c r="T29" s="82">
        <v>55</v>
      </c>
      <c r="U29" s="72">
        <f t="shared" si="0"/>
        <v>47.75</v>
      </c>
      <c r="V29" s="7">
        <f t="shared" si="1"/>
        <v>42.975000000000001</v>
      </c>
      <c r="W29" s="54">
        <f t="shared" si="2"/>
        <v>52.525000000000006</v>
      </c>
      <c r="X29" s="9">
        <f t="shared" si="3"/>
        <v>47.642857142857146</v>
      </c>
      <c r="Y29" s="57">
        <f t="shared" si="4"/>
        <v>42.878571428571433</v>
      </c>
      <c r="Z29" s="60">
        <f t="shared" si="5"/>
        <v>52.407142857142865</v>
      </c>
      <c r="AB29" s="26">
        <v>6</v>
      </c>
      <c r="AC29" s="43" t="str">
        <f t="shared" si="6"/>
        <v>ES-24 (fundo da laje-PLE04)</v>
      </c>
      <c r="AD29" s="44">
        <f t="shared" si="7"/>
        <v>47.642857142857146</v>
      </c>
      <c r="AE29" s="41" cm="1">
        <f t="array" ref="AE29">SUMPRODUCT((AD29&gt;=$AC$47:$AC$49)*(AD29&lt;$AD$47:$AD$49)*$AE$47:$AE$49)</f>
        <v>0.6</v>
      </c>
      <c r="AF29" s="44">
        <f t="shared" si="8"/>
        <v>28.585714285714285</v>
      </c>
    </row>
    <row r="30" spans="4:32" ht="15" customHeight="1" x14ac:dyDescent="0.3">
      <c r="D30" s="11" t="s">
        <v>160</v>
      </c>
      <c r="E30" s="81">
        <v>41</v>
      </c>
      <c r="F30" s="77">
        <v>41</v>
      </c>
      <c r="G30" s="77">
        <v>41</v>
      </c>
      <c r="H30" s="77">
        <v>42</v>
      </c>
      <c r="I30" s="77">
        <v>42</v>
      </c>
      <c r="J30" s="77">
        <v>43</v>
      </c>
      <c r="K30" s="77">
        <v>44</v>
      </c>
      <c r="L30" s="77">
        <v>44</v>
      </c>
      <c r="M30" s="77">
        <v>44</v>
      </c>
      <c r="N30" s="77">
        <v>46</v>
      </c>
      <c r="O30" s="77">
        <v>48</v>
      </c>
      <c r="P30" s="77">
        <v>48</v>
      </c>
      <c r="Q30" s="77">
        <v>48</v>
      </c>
      <c r="R30" s="77">
        <v>50</v>
      </c>
      <c r="S30" s="77">
        <v>50</v>
      </c>
      <c r="T30" s="82">
        <v>50</v>
      </c>
      <c r="U30" s="72">
        <f t="shared" si="0"/>
        <v>45.125</v>
      </c>
      <c r="V30" s="7">
        <f t="shared" si="1"/>
        <v>40.612500000000004</v>
      </c>
      <c r="W30" s="54">
        <f t="shared" si="2"/>
        <v>49.637500000000003</v>
      </c>
      <c r="X30" s="9">
        <f t="shared" si="3"/>
        <v>44</v>
      </c>
      <c r="Y30" s="57">
        <f t="shared" si="4"/>
        <v>39.6</v>
      </c>
      <c r="Z30" s="60">
        <f t="shared" si="5"/>
        <v>48.400000000000006</v>
      </c>
      <c r="AB30" s="26">
        <v>6</v>
      </c>
      <c r="AC30" s="43" t="str">
        <f t="shared" si="6"/>
        <v>ES-25 (fundo da laje-PLE03)</v>
      </c>
      <c r="AD30" s="44">
        <f t="shared" si="7"/>
        <v>44</v>
      </c>
      <c r="AE30" s="41" cm="1">
        <f t="array" ref="AE30">SUMPRODUCT((AD30&gt;=$AC$47:$AC$49)*(AD30&lt;$AD$47:$AD$49)*$AE$47:$AE$49)</f>
        <v>0.6</v>
      </c>
      <c r="AF30" s="44">
        <f t="shared" si="8"/>
        <v>26.4</v>
      </c>
    </row>
    <row r="31" spans="4:32" ht="15" customHeight="1" x14ac:dyDescent="0.3">
      <c r="D31" s="11" t="s">
        <v>161</v>
      </c>
      <c r="E31" s="81">
        <v>40</v>
      </c>
      <c r="F31" s="77">
        <v>41</v>
      </c>
      <c r="G31" s="77">
        <v>43</v>
      </c>
      <c r="H31" s="77">
        <v>43</v>
      </c>
      <c r="I31" s="77">
        <v>43</v>
      </c>
      <c r="J31" s="77">
        <v>44</v>
      </c>
      <c r="K31" s="77">
        <v>44</v>
      </c>
      <c r="L31" s="77">
        <v>45</v>
      </c>
      <c r="M31" s="77">
        <v>48</v>
      </c>
      <c r="N31" s="77">
        <v>48</v>
      </c>
      <c r="O31" s="77">
        <v>48</v>
      </c>
      <c r="P31" s="77">
        <v>48</v>
      </c>
      <c r="Q31" s="77">
        <v>49</v>
      </c>
      <c r="R31" s="77">
        <v>49</v>
      </c>
      <c r="S31" s="77">
        <v>50</v>
      </c>
      <c r="T31" s="82">
        <v>59</v>
      </c>
      <c r="U31" s="72">
        <f t="shared" si="0"/>
        <v>46.375</v>
      </c>
      <c r="V31" s="7">
        <f t="shared" si="1"/>
        <v>41.737500000000004</v>
      </c>
      <c r="W31" s="54">
        <f t="shared" si="2"/>
        <v>51.012500000000003</v>
      </c>
      <c r="X31" s="9">
        <f t="shared" si="3"/>
        <v>46.307692307692307</v>
      </c>
      <c r="Y31" s="57">
        <f t="shared" si="4"/>
        <v>41.676923076923075</v>
      </c>
      <c r="Z31" s="60">
        <f t="shared" si="5"/>
        <v>50.938461538461539</v>
      </c>
      <c r="AB31" s="26">
        <v>6</v>
      </c>
      <c r="AC31" s="43" t="str">
        <f t="shared" si="6"/>
        <v>ES-26 (fundo da laje-PLE01)</v>
      </c>
      <c r="AD31" s="44">
        <f t="shared" si="7"/>
        <v>46.307692307692307</v>
      </c>
      <c r="AE31" s="41" cm="1">
        <f t="array" ref="AE31">SUMPRODUCT((AD31&gt;=$AC$47:$AC$49)*(AD31&lt;$AD$47:$AD$49)*$AE$47:$AE$49)</f>
        <v>0.6</v>
      </c>
      <c r="AF31" s="44">
        <f t="shared" si="8"/>
        <v>27.784615384615382</v>
      </c>
    </row>
    <row r="32" spans="4:32" ht="15" thickBot="1" x14ac:dyDescent="0.35">
      <c r="D32" s="12" t="s">
        <v>162</v>
      </c>
      <c r="E32" s="83">
        <v>39</v>
      </c>
      <c r="F32" s="84">
        <v>39</v>
      </c>
      <c r="G32" s="84">
        <v>41</v>
      </c>
      <c r="H32" s="84">
        <v>41</v>
      </c>
      <c r="I32" s="84">
        <v>43</v>
      </c>
      <c r="J32" s="84">
        <v>43</v>
      </c>
      <c r="K32" s="84">
        <v>43</v>
      </c>
      <c r="L32" s="84">
        <v>43</v>
      </c>
      <c r="M32" s="84">
        <v>43</v>
      </c>
      <c r="N32" s="84">
        <v>43</v>
      </c>
      <c r="O32" s="84">
        <v>44</v>
      </c>
      <c r="P32" s="84">
        <v>44</v>
      </c>
      <c r="Q32" s="84">
        <v>44</v>
      </c>
      <c r="R32" s="84">
        <v>44</v>
      </c>
      <c r="S32" s="84">
        <v>45</v>
      </c>
      <c r="T32" s="85">
        <v>45</v>
      </c>
      <c r="U32" s="73">
        <f t="shared" si="0"/>
        <v>42.75</v>
      </c>
      <c r="V32" s="8">
        <f t="shared" si="1"/>
        <v>38.475000000000001</v>
      </c>
      <c r="W32" s="55">
        <f t="shared" si="2"/>
        <v>47.025000000000006</v>
      </c>
      <c r="X32" s="10">
        <f t="shared" si="3"/>
        <v>42.75</v>
      </c>
      <c r="Y32" s="58">
        <f t="shared" si="4"/>
        <v>38.475000000000001</v>
      </c>
      <c r="Z32" s="61">
        <f t="shared" si="5"/>
        <v>47.025000000000006</v>
      </c>
      <c r="AB32" s="26">
        <v>6</v>
      </c>
      <c r="AC32" s="43" t="str">
        <f t="shared" si="6"/>
        <v>ES-27 (bloco de fundação-CP09)</v>
      </c>
      <c r="AD32" s="44">
        <f t="shared" si="7"/>
        <v>42.75</v>
      </c>
      <c r="AE32" s="41" cm="1">
        <f t="array" ref="AE32">SUMPRODUCT((AD32&gt;=$AC$47:$AC$49)*(AD32&lt;$AD$47:$AD$49)*$AE$47:$AE$49)</f>
        <v>0.6</v>
      </c>
      <c r="AF32" s="44">
        <f t="shared" si="8"/>
        <v>25.65</v>
      </c>
    </row>
    <row r="33" spans="4:32" hidden="1" x14ac:dyDescent="0.3">
      <c r="D33" s="94" t="s">
        <v>145</v>
      </c>
      <c r="E33" s="95">
        <v>30</v>
      </c>
      <c r="F33" s="96">
        <v>30</v>
      </c>
      <c r="G33" s="96">
        <v>30</v>
      </c>
      <c r="H33" s="96">
        <v>30</v>
      </c>
      <c r="I33" s="96">
        <v>30</v>
      </c>
      <c r="J33" s="96">
        <v>30</v>
      </c>
      <c r="K33" s="96">
        <v>30</v>
      </c>
      <c r="L33" s="96">
        <v>30</v>
      </c>
      <c r="M33" s="96">
        <v>30</v>
      </c>
      <c r="N33" s="96">
        <v>30</v>
      </c>
      <c r="O33" s="96">
        <v>30</v>
      </c>
      <c r="P33" s="96">
        <v>30</v>
      </c>
      <c r="Q33" s="96">
        <v>30</v>
      </c>
      <c r="R33" s="96">
        <v>30</v>
      </c>
      <c r="S33" s="96">
        <v>30</v>
      </c>
      <c r="T33" s="97">
        <v>30</v>
      </c>
      <c r="U33" s="71">
        <f t="shared" si="0"/>
        <v>30</v>
      </c>
      <c r="V33" s="13">
        <f t="shared" si="1"/>
        <v>27</v>
      </c>
      <c r="W33" s="53">
        <f t="shared" si="2"/>
        <v>33</v>
      </c>
      <c r="X33" s="14">
        <f t="shared" si="3"/>
        <v>30</v>
      </c>
      <c r="Y33" s="56">
        <f t="shared" si="4"/>
        <v>27</v>
      </c>
      <c r="Z33" s="59">
        <f t="shared" si="5"/>
        <v>33</v>
      </c>
      <c r="AB33" s="26">
        <v>6</v>
      </c>
      <c r="AC33" s="43" t="str">
        <f t="shared" si="6"/>
        <v>ES-28</v>
      </c>
      <c r="AD33" s="44">
        <f t="shared" si="7"/>
        <v>30</v>
      </c>
      <c r="AE33" s="41" cm="1">
        <f t="array" ref="AE33">SUMPRODUCT((AD33&gt;=$AC$47:$AC$49)*(AD33&lt;$AD$47:$AD$49)*$AE$47:$AE$49)</f>
        <v>0.63</v>
      </c>
      <c r="AF33" s="44">
        <f t="shared" si="8"/>
        <v>18.899999999999999</v>
      </c>
    </row>
    <row r="34" spans="4:32" hidden="1" x14ac:dyDescent="0.3">
      <c r="D34" s="11" t="s">
        <v>146</v>
      </c>
      <c r="E34" s="81">
        <v>30</v>
      </c>
      <c r="F34" s="77">
        <v>30</v>
      </c>
      <c r="G34" s="77">
        <v>30</v>
      </c>
      <c r="H34" s="77">
        <v>30</v>
      </c>
      <c r="I34" s="77">
        <v>30</v>
      </c>
      <c r="J34" s="77">
        <v>30</v>
      </c>
      <c r="K34" s="77">
        <v>30</v>
      </c>
      <c r="L34" s="77">
        <v>30</v>
      </c>
      <c r="M34" s="77">
        <v>30</v>
      </c>
      <c r="N34" s="77">
        <v>30</v>
      </c>
      <c r="O34" s="77">
        <v>30</v>
      </c>
      <c r="P34" s="77">
        <v>30</v>
      </c>
      <c r="Q34" s="77">
        <v>30</v>
      </c>
      <c r="R34" s="77">
        <v>30</v>
      </c>
      <c r="S34" s="77">
        <v>30</v>
      </c>
      <c r="T34" s="82">
        <v>30</v>
      </c>
      <c r="U34" s="72">
        <f t="shared" si="0"/>
        <v>30</v>
      </c>
      <c r="V34" s="7">
        <f t="shared" si="1"/>
        <v>27</v>
      </c>
      <c r="W34" s="54">
        <f t="shared" si="2"/>
        <v>33</v>
      </c>
      <c r="X34" s="9">
        <f t="shared" si="3"/>
        <v>30</v>
      </c>
      <c r="Y34" s="57">
        <f t="shared" si="4"/>
        <v>27</v>
      </c>
      <c r="Z34" s="60">
        <f t="shared" si="5"/>
        <v>33</v>
      </c>
      <c r="AB34" s="26">
        <v>6</v>
      </c>
      <c r="AC34" s="43" t="str">
        <f t="shared" si="6"/>
        <v>ES-29</v>
      </c>
      <c r="AD34" s="44">
        <f t="shared" si="7"/>
        <v>30</v>
      </c>
      <c r="AE34" s="41" cm="1">
        <f t="array" ref="AE34">SUMPRODUCT((AD34&gt;=$AC$47:$AC$49)*(AD34&lt;$AD$47:$AD$49)*$AE$47:$AE$49)</f>
        <v>0.63</v>
      </c>
      <c r="AF34" s="44">
        <f t="shared" si="8"/>
        <v>18.899999999999999</v>
      </c>
    </row>
    <row r="35" spans="4:32" hidden="1" x14ac:dyDescent="0.3">
      <c r="D35" s="11" t="s">
        <v>147</v>
      </c>
      <c r="E35" s="81">
        <v>30</v>
      </c>
      <c r="F35" s="77">
        <v>30</v>
      </c>
      <c r="G35" s="77">
        <v>30</v>
      </c>
      <c r="H35" s="77">
        <v>30</v>
      </c>
      <c r="I35" s="77">
        <v>30</v>
      </c>
      <c r="J35" s="77">
        <v>30</v>
      </c>
      <c r="K35" s="77">
        <v>30</v>
      </c>
      <c r="L35" s="77">
        <v>30</v>
      </c>
      <c r="M35" s="77">
        <v>30</v>
      </c>
      <c r="N35" s="77">
        <v>30</v>
      </c>
      <c r="O35" s="77">
        <v>30</v>
      </c>
      <c r="P35" s="77">
        <v>30</v>
      </c>
      <c r="Q35" s="77">
        <v>30</v>
      </c>
      <c r="R35" s="77">
        <v>30</v>
      </c>
      <c r="S35" s="77">
        <v>30</v>
      </c>
      <c r="T35" s="82">
        <v>30</v>
      </c>
      <c r="U35" s="72">
        <f t="shared" si="0"/>
        <v>30</v>
      </c>
      <c r="V35" s="7">
        <f t="shared" si="1"/>
        <v>27</v>
      </c>
      <c r="W35" s="54">
        <f t="shared" si="2"/>
        <v>33</v>
      </c>
      <c r="X35" s="9">
        <f t="shared" si="3"/>
        <v>30</v>
      </c>
      <c r="Y35" s="57">
        <f t="shared" si="4"/>
        <v>27</v>
      </c>
      <c r="Z35" s="60">
        <f t="shared" si="5"/>
        <v>33</v>
      </c>
      <c r="AB35" s="26">
        <v>6</v>
      </c>
      <c r="AC35" s="43" t="str">
        <f t="shared" si="6"/>
        <v>ES-30</v>
      </c>
      <c r="AD35" s="44">
        <f t="shared" si="7"/>
        <v>30</v>
      </c>
      <c r="AE35" s="41" cm="1">
        <f t="array" ref="AE35">SUMPRODUCT((AD35&gt;=$AC$47:$AC$49)*(AD35&lt;$AD$47:$AD$49)*$AE$47:$AE$49)</f>
        <v>0.63</v>
      </c>
      <c r="AF35" s="44">
        <f t="shared" si="8"/>
        <v>18.899999999999999</v>
      </c>
    </row>
    <row r="36" spans="4:32" hidden="1" x14ac:dyDescent="0.3">
      <c r="D36" s="11" t="s">
        <v>148</v>
      </c>
      <c r="E36" s="81">
        <v>30</v>
      </c>
      <c r="F36" s="77">
        <v>30</v>
      </c>
      <c r="G36" s="77">
        <v>30</v>
      </c>
      <c r="H36" s="77">
        <v>30</v>
      </c>
      <c r="I36" s="77">
        <v>30</v>
      </c>
      <c r="J36" s="77">
        <v>30</v>
      </c>
      <c r="K36" s="77">
        <v>30</v>
      </c>
      <c r="L36" s="77">
        <v>30</v>
      </c>
      <c r="M36" s="77">
        <v>30</v>
      </c>
      <c r="N36" s="77">
        <v>30</v>
      </c>
      <c r="O36" s="77">
        <v>30</v>
      </c>
      <c r="P36" s="77">
        <v>30</v>
      </c>
      <c r="Q36" s="77">
        <v>30</v>
      </c>
      <c r="R36" s="77">
        <v>30</v>
      </c>
      <c r="S36" s="77">
        <v>30</v>
      </c>
      <c r="T36" s="82">
        <v>30</v>
      </c>
      <c r="U36" s="72">
        <f t="shared" si="0"/>
        <v>30</v>
      </c>
      <c r="V36" s="7">
        <f t="shared" si="1"/>
        <v>27</v>
      </c>
      <c r="W36" s="54">
        <f t="shared" si="2"/>
        <v>33</v>
      </c>
      <c r="X36" s="9">
        <f t="shared" si="3"/>
        <v>30</v>
      </c>
      <c r="Y36" s="57">
        <f t="shared" si="4"/>
        <v>27</v>
      </c>
      <c r="Z36" s="60">
        <f t="shared" si="5"/>
        <v>33</v>
      </c>
      <c r="AB36" s="26">
        <v>6</v>
      </c>
      <c r="AC36" s="43" t="str">
        <f t="shared" si="6"/>
        <v>ES-31</v>
      </c>
      <c r="AD36" s="44">
        <f t="shared" si="7"/>
        <v>30</v>
      </c>
      <c r="AE36" s="41" cm="1">
        <f t="array" ref="AE36">SUMPRODUCT((AD36&gt;=$AC$47:$AC$49)*(AD36&lt;$AD$47:$AD$49)*$AE$47:$AE$49)</f>
        <v>0.63</v>
      </c>
      <c r="AF36" s="44">
        <f t="shared" si="8"/>
        <v>18.899999999999999</v>
      </c>
    </row>
    <row r="37" spans="4:32" hidden="1" x14ac:dyDescent="0.3">
      <c r="D37" s="11" t="s">
        <v>149</v>
      </c>
      <c r="E37" s="81">
        <v>30</v>
      </c>
      <c r="F37" s="77">
        <v>30</v>
      </c>
      <c r="G37" s="77">
        <v>30</v>
      </c>
      <c r="H37" s="77">
        <v>30</v>
      </c>
      <c r="I37" s="77">
        <v>30</v>
      </c>
      <c r="J37" s="77">
        <v>30</v>
      </c>
      <c r="K37" s="77">
        <v>30</v>
      </c>
      <c r="L37" s="77">
        <v>30</v>
      </c>
      <c r="M37" s="77">
        <v>30</v>
      </c>
      <c r="N37" s="77">
        <v>30</v>
      </c>
      <c r="O37" s="77">
        <v>30</v>
      </c>
      <c r="P37" s="77">
        <v>30</v>
      </c>
      <c r="Q37" s="77">
        <v>30</v>
      </c>
      <c r="R37" s="77">
        <v>30</v>
      </c>
      <c r="S37" s="77">
        <v>30</v>
      </c>
      <c r="T37" s="82">
        <v>30</v>
      </c>
      <c r="U37" s="72">
        <f t="shared" si="0"/>
        <v>30</v>
      </c>
      <c r="V37" s="7">
        <f t="shared" si="1"/>
        <v>27</v>
      </c>
      <c r="W37" s="54">
        <f t="shared" si="2"/>
        <v>33</v>
      </c>
      <c r="X37" s="9">
        <f t="shared" si="3"/>
        <v>30</v>
      </c>
      <c r="Y37" s="57">
        <f t="shared" si="4"/>
        <v>27</v>
      </c>
      <c r="Z37" s="60">
        <f t="shared" si="5"/>
        <v>33</v>
      </c>
      <c r="AB37" s="26">
        <v>6</v>
      </c>
      <c r="AC37" s="43" t="str">
        <f t="shared" si="6"/>
        <v>ES-32</v>
      </c>
      <c r="AD37" s="44">
        <f t="shared" si="7"/>
        <v>30</v>
      </c>
      <c r="AE37" s="41" cm="1">
        <f t="array" ref="AE37">SUMPRODUCT((AD37&gt;=$AC$47:$AC$49)*(AD37&lt;$AD$47:$AD$49)*$AE$47:$AE$49)</f>
        <v>0.63</v>
      </c>
      <c r="AF37" s="44">
        <f t="shared" si="8"/>
        <v>18.899999999999999</v>
      </c>
    </row>
    <row r="38" spans="4:32" hidden="1" x14ac:dyDescent="0.3">
      <c r="D38" s="11" t="s">
        <v>150</v>
      </c>
      <c r="E38" s="81">
        <v>30</v>
      </c>
      <c r="F38" s="77">
        <v>30</v>
      </c>
      <c r="G38" s="77">
        <v>30</v>
      </c>
      <c r="H38" s="77">
        <v>30</v>
      </c>
      <c r="I38" s="77">
        <v>30</v>
      </c>
      <c r="J38" s="77">
        <v>30</v>
      </c>
      <c r="K38" s="77">
        <v>30</v>
      </c>
      <c r="L38" s="77">
        <v>30</v>
      </c>
      <c r="M38" s="77">
        <v>30</v>
      </c>
      <c r="N38" s="77">
        <v>30</v>
      </c>
      <c r="O38" s="77">
        <v>30</v>
      </c>
      <c r="P38" s="77">
        <v>30</v>
      </c>
      <c r="Q38" s="77">
        <v>30</v>
      </c>
      <c r="R38" s="77">
        <v>30</v>
      </c>
      <c r="S38" s="77">
        <v>30</v>
      </c>
      <c r="T38" s="82">
        <v>30</v>
      </c>
      <c r="U38" s="72">
        <f t="shared" si="0"/>
        <v>30</v>
      </c>
      <c r="V38" s="7">
        <f t="shared" si="1"/>
        <v>27</v>
      </c>
      <c r="W38" s="54">
        <f t="shared" si="2"/>
        <v>33</v>
      </c>
      <c r="X38" s="9">
        <f t="shared" si="3"/>
        <v>30</v>
      </c>
      <c r="Y38" s="57">
        <f t="shared" si="4"/>
        <v>27</v>
      </c>
      <c r="Z38" s="60">
        <f t="shared" si="5"/>
        <v>33</v>
      </c>
      <c r="AB38" s="26">
        <v>6</v>
      </c>
      <c r="AC38" s="43" t="str">
        <f t="shared" si="6"/>
        <v>ES-33</v>
      </c>
      <c r="AD38" s="44">
        <f t="shared" si="7"/>
        <v>30</v>
      </c>
      <c r="AE38" s="41" cm="1">
        <f t="array" ref="AE38">SUMPRODUCT((AD38&gt;=$AC$47:$AC$49)*(AD38&lt;$AD$47:$AD$49)*$AE$47:$AE$49)</f>
        <v>0.63</v>
      </c>
      <c r="AF38" s="44">
        <f t="shared" si="8"/>
        <v>18.899999999999999</v>
      </c>
    </row>
    <row r="39" spans="4:32" hidden="1" x14ac:dyDescent="0.3">
      <c r="D39" s="11" t="s">
        <v>151</v>
      </c>
      <c r="E39" s="81">
        <v>30</v>
      </c>
      <c r="F39" s="77">
        <v>30</v>
      </c>
      <c r="G39" s="77">
        <v>30</v>
      </c>
      <c r="H39" s="77">
        <v>30</v>
      </c>
      <c r="I39" s="77">
        <v>30</v>
      </c>
      <c r="J39" s="77">
        <v>30</v>
      </c>
      <c r="K39" s="77">
        <v>30</v>
      </c>
      <c r="L39" s="77">
        <v>30</v>
      </c>
      <c r="M39" s="77">
        <v>30</v>
      </c>
      <c r="N39" s="77">
        <v>30</v>
      </c>
      <c r="O39" s="77">
        <v>30</v>
      </c>
      <c r="P39" s="77">
        <v>30</v>
      </c>
      <c r="Q39" s="77">
        <v>30</v>
      </c>
      <c r="R39" s="77">
        <v>30</v>
      </c>
      <c r="S39" s="77">
        <v>30</v>
      </c>
      <c r="T39" s="82">
        <v>30</v>
      </c>
      <c r="U39" s="72">
        <f t="shared" si="0"/>
        <v>30</v>
      </c>
      <c r="V39" s="7">
        <f t="shared" si="1"/>
        <v>27</v>
      </c>
      <c r="W39" s="54">
        <f t="shared" si="2"/>
        <v>33</v>
      </c>
      <c r="X39" s="9">
        <f t="shared" si="3"/>
        <v>30</v>
      </c>
      <c r="Y39" s="57">
        <f t="shared" si="4"/>
        <v>27</v>
      </c>
      <c r="Z39" s="60">
        <f t="shared" si="5"/>
        <v>33</v>
      </c>
      <c r="AB39" s="26">
        <v>6</v>
      </c>
      <c r="AC39" s="43" t="str">
        <f t="shared" si="6"/>
        <v>ES-34</v>
      </c>
      <c r="AD39" s="44">
        <f t="shared" si="7"/>
        <v>30</v>
      </c>
      <c r="AE39" s="41" cm="1">
        <f t="array" ref="AE39">SUMPRODUCT((AD39&gt;=$AC$47:$AC$49)*(AD39&lt;$AD$47:$AD$49)*$AE$47:$AE$49)</f>
        <v>0.63</v>
      </c>
      <c r="AF39" s="44">
        <f t="shared" si="8"/>
        <v>18.899999999999999</v>
      </c>
    </row>
    <row r="40" spans="4:32" hidden="1" x14ac:dyDescent="0.3">
      <c r="D40" s="11" t="s">
        <v>152</v>
      </c>
      <c r="E40" s="81">
        <v>30</v>
      </c>
      <c r="F40" s="77">
        <v>30</v>
      </c>
      <c r="G40" s="77">
        <v>30</v>
      </c>
      <c r="H40" s="77">
        <v>30</v>
      </c>
      <c r="I40" s="77">
        <v>30</v>
      </c>
      <c r="J40" s="77">
        <v>30</v>
      </c>
      <c r="K40" s="77">
        <v>30</v>
      </c>
      <c r="L40" s="77">
        <v>30</v>
      </c>
      <c r="M40" s="77">
        <v>30</v>
      </c>
      <c r="N40" s="77">
        <v>30</v>
      </c>
      <c r="O40" s="77">
        <v>30</v>
      </c>
      <c r="P40" s="77">
        <v>30</v>
      </c>
      <c r="Q40" s="77">
        <v>30</v>
      </c>
      <c r="R40" s="77">
        <v>30</v>
      </c>
      <c r="S40" s="77">
        <v>30</v>
      </c>
      <c r="T40" s="82">
        <v>30</v>
      </c>
      <c r="U40" s="72">
        <f t="shared" si="0"/>
        <v>30</v>
      </c>
      <c r="V40" s="7">
        <f t="shared" si="1"/>
        <v>27</v>
      </c>
      <c r="W40" s="54">
        <f t="shared" si="2"/>
        <v>33</v>
      </c>
      <c r="X40" s="9">
        <f t="shared" si="3"/>
        <v>30</v>
      </c>
      <c r="Y40" s="57">
        <f t="shared" si="4"/>
        <v>27</v>
      </c>
      <c r="Z40" s="60">
        <f t="shared" si="5"/>
        <v>33</v>
      </c>
      <c r="AB40" s="26">
        <v>6</v>
      </c>
      <c r="AC40" s="43" t="str">
        <f t="shared" si="6"/>
        <v>ES-35</v>
      </c>
      <c r="AD40" s="44">
        <f t="shared" si="7"/>
        <v>30</v>
      </c>
      <c r="AE40" s="41" cm="1">
        <f t="array" ref="AE40">SUMPRODUCT((AD40&gt;=$AC$47:$AC$49)*(AD40&lt;$AD$47:$AD$49)*$AE$47:$AE$49)</f>
        <v>0.63</v>
      </c>
      <c r="AF40" s="44">
        <f t="shared" si="8"/>
        <v>18.899999999999999</v>
      </c>
    </row>
    <row r="41" spans="4:32" ht="15" hidden="1" thickBot="1" x14ac:dyDescent="0.35">
      <c r="D41" s="12" t="s">
        <v>153</v>
      </c>
      <c r="E41" s="83">
        <v>30</v>
      </c>
      <c r="F41" s="84">
        <v>30</v>
      </c>
      <c r="G41" s="84">
        <v>30</v>
      </c>
      <c r="H41" s="84">
        <v>30</v>
      </c>
      <c r="I41" s="84">
        <v>30</v>
      </c>
      <c r="J41" s="84">
        <v>30</v>
      </c>
      <c r="K41" s="84">
        <v>30</v>
      </c>
      <c r="L41" s="84">
        <v>30</v>
      </c>
      <c r="M41" s="84">
        <v>30</v>
      </c>
      <c r="N41" s="84">
        <v>30</v>
      </c>
      <c r="O41" s="84">
        <v>30</v>
      </c>
      <c r="P41" s="84">
        <v>30</v>
      </c>
      <c r="Q41" s="84">
        <v>30</v>
      </c>
      <c r="R41" s="84">
        <v>30</v>
      </c>
      <c r="S41" s="84">
        <v>30</v>
      </c>
      <c r="T41" s="85">
        <v>30</v>
      </c>
      <c r="U41" s="73">
        <f t="shared" si="0"/>
        <v>30</v>
      </c>
      <c r="V41" s="8">
        <f t="shared" si="1"/>
        <v>27</v>
      </c>
      <c r="W41" s="55">
        <f t="shared" si="2"/>
        <v>33</v>
      </c>
      <c r="X41" s="10">
        <f t="shared" si="3"/>
        <v>30</v>
      </c>
      <c r="Y41" s="58">
        <f t="shared" si="4"/>
        <v>27</v>
      </c>
      <c r="Z41" s="61">
        <f t="shared" si="5"/>
        <v>33</v>
      </c>
      <c r="AB41" s="26">
        <v>6</v>
      </c>
      <c r="AC41" s="43" t="str">
        <f t="shared" si="6"/>
        <v>ES-36</v>
      </c>
      <c r="AD41" s="44">
        <f t="shared" si="7"/>
        <v>30</v>
      </c>
      <c r="AE41" s="41" cm="1">
        <f t="array" ref="AE41">SUMPRODUCT((AD41&gt;=$AC$47:$AC$49)*(AD41&lt;$AD$47:$AD$49)*$AE$47:$AE$49)</f>
        <v>0.63</v>
      </c>
      <c r="AF41" s="44">
        <f t="shared" si="8"/>
        <v>18.899999999999999</v>
      </c>
    </row>
    <row r="42" spans="4:32" ht="15" thickBot="1" x14ac:dyDescent="0.35"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AB42" s="47"/>
      <c r="AC42" s="48"/>
      <c r="AD42" s="49"/>
      <c r="AE42" s="50"/>
      <c r="AF42" s="49"/>
    </row>
    <row r="43" spans="4:32" ht="15" customHeight="1" x14ac:dyDescent="0.3">
      <c r="D43" s="45"/>
      <c r="E43" s="66"/>
      <c r="F43" s="67" t="s">
        <v>154</v>
      </c>
      <c r="G43" s="68"/>
      <c r="H43" s="68"/>
      <c r="I43" s="69"/>
      <c r="J43" s="69"/>
      <c r="K43" s="70"/>
      <c r="L43" s="46"/>
      <c r="M43" s="46"/>
      <c r="N43" s="46"/>
      <c r="O43" s="46"/>
      <c r="P43" s="46"/>
      <c r="Q43" s="46"/>
      <c r="R43" s="46"/>
      <c r="S43" s="46"/>
      <c r="T43" s="46"/>
      <c r="AB43" s="47"/>
      <c r="AC43" s="48"/>
      <c r="AD43" s="49"/>
      <c r="AE43" s="50"/>
      <c r="AF43" s="49"/>
    </row>
    <row r="44" spans="4:32" ht="12.6" customHeight="1" x14ac:dyDescent="0.3">
      <c r="E44" s="63"/>
      <c r="F44" s="20" t="s">
        <v>7</v>
      </c>
      <c r="G44" s="18"/>
      <c r="H44" s="18"/>
      <c r="I44" s="19"/>
      <c r="J44" s="19"/>
      <c r="K44" s="21"/>
    </row>
    <row r="45" spans="4:32" ht="12.6" customHeight="1" x14ac:dyDescent="0.3">
      <c r="E45" s="62"/>
      <c r="F45" s="20" t="s">
        <v>8</v>
      </c>
      <c r="G45" s="18"/>
      <c r="H45" s="18"/>
      <c r="I45" s="19"/>
      <c r="J45" s="19"/>
      <c r="K45" s="21"/>
    </row>
    <row r="46" spans="4:32" ht="12.6" customHeight="1" thickBot="1" x14ac:dyDescent="0.35">
      <c r="E46" s="64"/>
      <c r="F46" s="22" t="s">
        <v>9</v>
      </c>
      <c r="G46" s="23"/>
      <c r="H46" s="23"/>
      <c r="I46" s="24"/>
      <c r="J46" s="24"/>
      <c r="K46" s="25"/>
      <c r="AC46" s="19" t="s">
        <v>139</v>
      </c>
      <c r="AD46" s="19" t="s">
        <v>140</v>
      </c>
      <c r="AE46" s="19" t="s">
        <v>141</v>
      </c>
    </row>
    <row r="47" spans="4:32" x14ac:dyDescent="0.3">
      <c r="AB47" s="33"/>
      <c r="AC47" s="27">
        <v>23</v>
      </c>
      <c r="AD47" s="27">
        <v>28</v>
      </c>
      <c r="AE47" s="32">
        <v>0.67</v>
      </c>
    </row>
    <row r="48" spans="4:32" ht="15" thickBot="1" x14ac:dyDescent="0.35">
      <c r="AC48" s="27">
        <v>28</v>
      </c>
      <c r="AD48" s="27">
        <v>34</v>
      </c>
      <c r="AE48" s="32">
        <v>0.63</v>
      </c>
    </row>
    <row r="49" spans="4:31" ht="18" customHeight="1" x14ac:dyDescent="0.3">
      <c r="D49" s="154" t="s">
        <v>0</v>
      </c>
      <c r="E49" s="156" t="s">
        <v>137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56" t="s">
        <v>1</v>
      </c>
      <c r="V49" s="157"/>
      <c r="W49" s="158"/>
      <c r="X49" s="156" t="s">
        <v>2</v>
      </c>
      <c r="Y49" s="157"/>
      <c r="Z49" s="158"/>
      <c r="AC49" s="27">
        <v>34</v>
      </c>
      <c r="AD49" s="27">
        <v>50</v>
      </c>
      <c r="AE49" s="32">
        <v>0.6</v>
      </c>
    </row>
    <row r="50" spans="4:31" ht="51" customHeight="1" thickBot="1" x14ac:dyDescent="0.35">
      <c r="D50" s="155"/>
      <c r="E50" s="105">
        <v>1</v>
      </c>
      <c r="F50" s="106">
        <v>2</v>
      </c>
      <c r="G50" s="106">
        <v>3</v>
      </c>
      <c r="H50" s="106">
        <v>4</v>
      </c>
      <c r="I50" s="106">
        <v>5</v>
      </c>
      <c r="J50" s="106">
        <v>6</v>
      </c>
      <c r="K50" s="106">
        <v>7</v>
      </c>
      <c r="L50" s="106">
        <v>8</v>
      </c>
      <c r="M50" s="106">
        <v>9</v>
      </c>
      <c r="N50" s="106">
        <v>10</v>
      </c>
      <c r="O50" s="106">
        <v>11</v>
      </c>
      <c r="P50" s="106">
        <v>12</v>
      </c>
      <c r="Q50" s="106">
        <v>13</v>
      </c>
      <c r="R50" s="106">
        <v>14</v>
      </c>
      <c r="S50" s="106">
        <v>15</v>
      </c>
      <c r="T50" s="107">
        <v>16</v>
      </c>
      <c r="U50" s="108" t="s">
        <v>3</v>
      </c>
      <c r="V50" s="109" t="s">
        <v>4</v>
      </c>
      <c r="W50" s="110" t="s">
        <v>5</v>
      </c>
      <c r="X50" s="108" t="s">
        <v>6</v>
      </c>
      <c r="Y50" s="109" t="s">
        <v>4</v>
      </c>
      <c r="Z50" s="110" t="s">
        <v>5</v>
      </c>
    </row>
    <row r="51" spans="4:31" x14ac:dyDescent="0.3">
      <c r="D51" s="111" t="s">
        <v>10</v>
      </c>
      <c r="E51" s="132">
        <v>30</v>
      </c>
      <c r="F51" s="133">
        <v>32</v>
      </c>
      <c r="G51" s="133">
        <v>32</v>
      </c>
      <c r="H51" s="133">
        <v>33</v>
      </c>
      <c r="I51" s="133">
        <v>34</v>
      </c>
      <c r="J51" s="133">
        <v>34</v>
      </c>
      <c r="K51" s="133">
        <v>35</v>
      </c>
      <c r="L51" s="133">
        <v>36</v>
      </c>
      <c r="M51" s="133">
        <v>36</v>
      </c>
      <c r="N51" s="133">
        <v>36</v>
      </c>
      <c r="O51" s="133">
        <v>36</v>
      </c>
      <c r="P51" s="133">
        <v>36</v>
      </c>
      <c r="Q51" s="133">
        <v>36</v>
      </c>
      <c r="R51" s="133">
        <v>37</v>
      </c>
      <c r="S51" s="133">
        <v>37</v>
      </c>
      <c r="T51" s="134">
        <v>37</v>
      </c>
      <c r="U51" s="141">
        <f t="shared" ref="U51:U66" si="9">AVERAGE(E51:T51)</f>
        <v>34.8125</v>
      </c>
      <c r="V51" s="116">
        <f t="shared" ref="V51:V72" si="10">U51*0.9</f>
        <v>31.331250000000001</v>
      </c>
      <c r="W51" s="117">
        <f t="shared" ref="W51:W72" si="11">U51*1.1</f>
        <v>38.293750000000003</v>
      </c>
      <c r="X51" s="145">
        <f t="shared" ref="X51:X66" si="12">AVERAGEIFS(E51:T51,E51:T51,"&gt;"&amp;V51, E51:T51, "&lt;"&amp;W51)</f>
        <v>35.133333333333333</v>
      </c>
      <c r="Y51" s="118">
        <f t="shared" ref="Y51:Y72" si="13">X51*0.9</f>
        <v>31.62</v>
      </c>
      <c r="Z51" s="119">
        <f t="shared" ref="Z51:Z88" si="14">X51*1.1</f>
        <v>38.646666666666668</v>
      </c>
    </row>
    <row r="52" spans="4:31" x14ac:dyDescent="0.3">
      <c r="D52" s="112" t="s">
        <v>11</v>
      </c>
      <c r="E52" s="135">
        <v>30</v>
      </c>
      <c r="F52" s="136">
        <v>30</v>
      </c>
      <c r="G52" s="136">
        <v>30</v>
      </c>
      <c r="H52" s="136">
        <v>30</v>
      </c>
      <c r="I52" s="136">
        <v>30</v>
      </c>
      <c r="J52" s="136">
        <v>30</v>
      </c>
      <c r="K52" s="136">
        <v>31</v>
      </c>
      <c r="L52" s="136">
        <v>31</v>
      </c>
      <c r="M52" s="136">
        <v>31</v>
      </c>
      <c r="N52" s="136">
        <v>31</v>
      </c>
      <c r="O52" s="136">
        <v>32</v>
      </c>
      <c r="P52" s="136">
        <v>32</v>
      </c>
      <c r="Q52" s="136">
        <v>32</v>
      </c>
      <c r="R52" s="136">
        <v>32</v>
      </c>
      <c r="S52" s="136">
        <v>32</v>
      </c>
      <c r="T52" s="137">
        <v>32</v>
      </c>
      <c r="U52" s="142">
        <f t="shared" si="9"/>
        <v>31</v>
      </c>
      <c r="V52" s="120">
        <f t="shared" si="10"/>
        <v>27.900000000000002</v>
      </c>
      <c r="W52" s="121">
        <f t="shared" si="11"/>
        <v>34.1</v>
      </c>
      <c r="X52" s="146">
        <f t="shared" si="12"/>
        <v>31</v>
      </c>
      <c r="Y52" s="122">
        <f t="shared" si="13"/>
        <v>27.900000000000002</v>
      </c>
      <c r="Z52" s="123">
        <f t="shared" si="14"/>
        <v>34.1</v>
      </c>
    </row>
    <row r="53" spans="4:31" x14ac:dyDescent="0.3">
      <c r="D53" s="112" t="s">
        <v>12</v>
      </c>
      <c r="E53" s="135">
        <v>27</v>
      </c>
      <c r="F53" s="136">
        <v>30</v>
      </c>
      <c r="G53" s="136">
        <v>31</v>
      </c>
      <c r="H53" s="136">
        <v>31</v>
      </c>
      <c r="I53" s="136">
        <v>31</v>
      </c>
      <c r="J53" s="136">
        <v>31</v>
      </c>
      <c r="K53" s="136">
        <v>32</v>
      </c>
      <c r="L53" s="136">
        <v>32</v>
      </c>
      <c r="M53" s="136">
        <v>32</v>
      </c>
      <c r="N53" s="136">
        <v>33</v>
      </c>
      <c r="O53" s="136">
        <v>33</v>
      </c>
      <c r="P53" s="136">
        <v>34</v>
      </c>
      <c r="Q53" s="136">
        <v>34</v>
      </c>
      <c r="R53" s="136">
        <v>37</v>
      </c>
      <c r="S53" s="136">
        <v>39</v>
      </c>
      <c r="T53" s="137">
        <v>39</v>
      </c>
      <c r="U53" s="142">
        <f t="shared" si="9"/>
        <v>32.875</v>
      </c>
      <c r="V53" s="120">
        <f t="shared" si="10"/>
        <v>29.587500000000002</v>
      </c>
      <c r="W53" s="121">
        <f t="shared" si="11"/>
        <v>36.162500000000001</v>
      </c>
      <c r="X53" s="146">
        <f t="shared" si="12"/>
        <v>32</v>
      </c>
      <c r="Y53" s="122">
        <f t="shared" si="13"/>
        <v>28.8</v>
      </c>
      <c r="Z53" s="123">
        <f t="shared" si="14"/>
        <v>35.200000000000003</v>
      </c>
    </row>
    <row r="54" spans="4:31" x14ac:dyDescent="0.3">
      <c r="D54" s="112" t="s">
        <v>13</v>
      </c>
      <c r="E54" s="135">
        <v>33</v>
      </c>
      <c r="F54" s="136">
        <v>33</v>
      </c>
      <c r="G54" s="136">
        <v>34</v>
      </c>
      <c r="H54" s="136">
        <v>34</v>
      </c>
      <c r="I54" s="136">
        <v>36</v>
      </c>
      <c r="J54" s="136">
        <v>36</v>
      </c>
      <c r="K54" s="136">
        <v>37</v>
      </c>
      <c r="L54" s="136">
        <v>37</v>
      </c>
      <c r="M54" s="136">
        <v>37</v>
      </c>
      <c r="N54" s="136">
        <v>37</v>
      </c>
      <c r="O54" s="136">
        <v>38</v>
      </c>
      <c r="P54" s="136">
        <v>38</v>
      </c>
      <c r="Q54" s="136">
        <v>39</v>
      </c>
      <c r="R54" s="136">
        <v>39</v>
      </c>
      <c r="S54" s="136">
        <v>40</v>
      </c>
      <c r="T54" s="137">
        <v>48</v>
      </c>
      <c r="U54" s="142">
        <f t="shared" si="9"/>
        <v>37.25</v>
      </c>
      <c r="V54" s="120">
        <f t="shared" si="10"/>
        <v>33.524999999999999</v>
      </c>
      <c r="W54" s="121">
        <f t="shared" si="11"/>
        <v>40.975000000000001</v>
      </c>
      <c r="X54" s="146">
        <f t="shared" si="12"/>
        <v>37.07692307692308</v>
      </c>
      <c r="Y54" s="122">
        <f t="shared" si="13"/>
        <v>33.369230769230775</v>
      </c>
      <c r="Z54" s="123">
        <f t="shared" si="14"/>
        <v>40.784615384615392</v>
      </c>
    </row>
    <row r="55" spans="4:31" x14ac:dyDescent="0.3">
      <c r="D55" s="112" t="s">
        <v>14</v>
      </c>
      <c r="E55" s="135">
        <v>31</v>
      </c>
      <c r="F55" s="136">
        <v>34</v>
      </c>
      <c r="G55" s="136">
        <v>34</v>
      </c>
      <c r="H55" s="136">
        <v>35</v>
      </c>
      <c r="I55" s="136">
        <v>35</v>
      </c>
      <c r="J55" s="136">
        <v>36</v>
      </c>
      <c r="K55" s="136">
        <v>36</v>
      </c>
      <c r="L55" s="136">
        <v>36</v>
      </c>
      <c r="M55" s="136">
        <v>36</v>
      </c>
      <c r="N55" s="136">
        <v>38</v>
      </c>
      <c r="O55" s="136">
        <v>38</v>
      </c>
      <c r="P55" s="136">
        <v>38</v>
      </c>
      <c r="Q55" s="136">
        <v>38</v>
      </c>
      <c r="R55" s="136">
        <v>39</v>
      </c>
      <c r="S55" s="136">
        <v>44</v>
      </c>
      <c r="T55" s="137">
        <v>48</v>
      </c>
      <c r="U55" s="142">
        <f t="shared" si="9"/>
        <v>37.25</v>
      </c>
      <c r="V55" s="120">
        <f t="shared" si="10"/>
        <v>33.524999999999999</v>
      </c>
      <c r="W55" s="121">
        <f t="shared" si="11"/>
        <v>40.975000000000001</v>
      </c>
      <c r="X55" s="146">
        <f t="shared" si="12"/>
        <v>36.384615384615387</v>
      </c>
      <c r="Y55" s="122">
        <f t="shared" si="13"/>
        <v>32.746153846153852</v>
      </c>
      <c r="Z55" s="123">
        <f t="shared" si="14"/>
        <v>40.023076923076928</v>
      </c>
    </row>
    <row r="56" spans="4:31" x14ac:dyDescent="0.3">
      <c r="D56" s="112" t="s">
        <v>15</v>
      </c>
      <c r="E56" s="135">
        <v>35</v>
      </c>
      <c r="F56" s="136">
        <v>35</v>
      </c>
      <c r="G56" s="136">
        <v>36</v>
      </c>
      <c r="H56" s="136">
        <v>36</v>
      </c>
      <c r="I56" s="136">
        <v>37</v>
      </c>
      <c r="J56" s="136">
        <v>38</v>
      </c>
      <c r="K56" s="136">
        <v>38</v>
      </c>
      <c r="L56" s="136">
        <v>38</v>
      </c>
      <c r="M56" s="136">
        <v>41</v>
      </c>
      <c r="N56" s="136">
        <v>41</v>
      </c>
      <c r="O56" s="136">
        <v>42</v>
      </c>
      <c r="P56" s="136">
        <v>42</v>
      </c>
      <c r="Q56" s="136">
        <v>44</v>
      </c>
      <c r="R56" s="136">
        <v>45</v>
      </c>
      <c r="S56" s="136">
        <v>53</v>
      </c>
      <c r="T56" s="137">
        <v>58</v>
      </c>
      <c r="U56" s="142">
        <f t="shared" si="9"/>
        <v>41.1875</v>
      </c>
      <c r="V56" s="120">
        <f t="shared" si="10"/>
        <v>37.068750000000001</v>
      </c>
      <c r="W56" s="121">
        <f t="shared" si="11"/>
        <v>45.306250000000006</v>
      </c>
      <c r="X56" s="146">
        <f t="shared" si="12"/>
        <v>41</v>
      </c>
      <c r="Y56" s="122">
        <f t="shared" si="13"/>
        <v>36.9</v>
      </c>
      <c r="Z56" s="123">
        <f t="shared" si="14"/>
        <v>45.1</v>
      </c>
    </row>
    <row r="57" spans="4:31" x14ac:dyDescent="0.3">
      <c r="D57" s="112" t="s">
        <v>16</v>
      </c>
      <c r="E57" s="135">
        <v>31</v>
      </c>
      <c r="F57" s="136">
        <v>35</v>
      </c>
      <c r="G57" s="136">
        <v>36</v>
      </c>
      <c r="H57" s="136">
        <v>36</v>
      </c>
      <c r="I57" s="136">
        <v>37</v>
      </c>
      <c r="J57" s="136">
        <v>37</v>
      </c>
      <c r="K57" s="136">
        <v>38</v>
      </c>
      <c r="L57" s="136">
        <v>38</v>
      </c>
      <c r="M57" s="136">
        <v>38</v>
      </c>
      <c r="N57" s="136">
        <v>39</v>
      </c>
      <c r="O57" s="136">
        <v>39</v>
      </c>
      <c r="P57" s="136">
        <v>40</v>
      </c>
      <c r="Q57" s="136">
        <v>41</v>
      </c>
      <c r="R57" s="136">
        <v>41</v>
      </c>
      <c r="S57" s="136">
        <v>45</v>
      </c>
      <c r="T57" s="137">
        <v>46</v>
      </c>
      <c r="U57" s="142">
        <f t="shared" si="9"/>
        <v>38.5625</v>
      </c>
      <c r="V57" s="120">
        <f t="shared" si="10"/>
        <v>34.706250000000004</v>
      </c>
      <c r="W57" s="121">
        <f t="shared" si="11"/>
        <v>42.418750000000003</v>
      </c>
      <c r="X57" s="146">
        <f t="shared" si="12"/>
        <v>38.07692307692308</v>
      </c>
      <c r="Y57" s="122">
        <f t="shared" si="13"/>
        <v>34.269230769230774</v>
      </c>
      <c r="Z57" s="123">
        <f t="shared" si="14"/>
        <v>41.884615384615394</v>
      </c>
    </row>
    <row r="58" spans="4:31" x14ac:dyDescent="0.3">
      <c r="D58" s="112" t="s">
        <v>17</v>
      </c>
      <c r="E58" s="135">
        <v>26</v>
      </c>
      <c r="F58" s="136">
        <v>27</v>
      </c>
      <c r="G58" s="136">
        <v>28</v>
      </c>
      <c r="H58" s="136">
        <v>29</v>
      </c>
      <c r="I58" s="136">
        <v>30</v>
      </c>
      <c r="J58" s="136">
        <v>30</v>
      </c>
      <c r="K58" s="136">
        <v>32</v>
      </c>
      <c r="L58" s="136">
        <v>32</v>
      </c>
      <c r="M58" s="136">
        <v>32</v>
      </c>
      <c r="N58" s="136">
        <v>33</v>
      </c>
      <c r="O58" s="136">
        <v>33</v>
      </c>
      <c r="P58" s="136">
        <v>34</v>
      </c>
      <c r="Q58" s="136">
        <v>35</v>
      </c>
      <c r="R58" s="136">
        <v>36</v>
      </c>
      <c r="S58" s="136">
        <v>36</v>
      </c>
      <c r="T58" s="137">
        <v>37</v>
      </c>
      <c r="U58" s="142">
        <f t="shared" si="9"/>
        <v>31.875</v>
      </c>
      <c r="V58" s="120">
        <f t="shared" si="10"/>
        <v>28.6875</v>
      </c>
      <c r="W58" s="121">
        <f t="shared" si="11"/>
        <v>35.0625</v>
      </c>
      <c r="X58" s="146">
        <f t="shared" si="12"/>
        <v>32</v>
      </c>
      <c r="Y58" s="122">
        <f t="shared" si="13"/>
        <v>28.8</v>
      </c>
      <c r="Z58" s="123">
        <f t="shared" si="14"/>
        <v>35.200000000000003</v>
      </c>
    </row>
    <row r="59" spans="4:31" x14ac:dyDescent="0.3">
      <c r="D59" s="112" t="s">
        <v>18</v>
      </c>
      <c r="E59" s="135">
        <v>29</v>
      </c>
      <c r="F59" s="136">
        <v>30</v>
      </c>
      <c r="G59" s="136">
        <v>30</v>
      </c>
      <c r="H59" s="136">
        <v>30</v>
      </c>
      <c r="I59" s="136">
        <v>30</v>
      </c>
      <c r="J59" s="136">
        <v>31</v>
      </c>
      <c r="K59" s="136">
        <v>31</v>
      </c>
      <c r="L59" s="136">
        <v>32</v>
      </c>
      <c r="M59" s="136">
        <v>32</v>
      </c>
      <c r="N59" s="136">
        <v>32</v>
      </c>
      <c r="O59" s="136">
        <v>33</v>
      </c>
      <c r="P59" s="136">
        <v>34</v>
      </c>
      <c r="Q59" s="136">
        <v>35</v>
      </c>
      <c r="R59" s="136">
        <v>35</v>
      </c>
      <c r="S59" s="136">
        <v>36</v>
      </c>
      <c r="T59" s="137">
        <v>36</v>
      </c>
      <c r="U59" s="142">
        <f t="shared" si="9"/>
        <v>32.25</v>
      </c>
      <c r="V59" s="120">
        <f t="shared" si="10"/>
        <v>29.025000000000002</v>
      </c>
      <c r="W59" s="121">
        <f t="shared" si="11"/>
        <v>35.475000000000001</v>
      </c>
      <c r="X59" s="146">
        <f t="shared" si="12"/>
        <v>31.923076923076923</v>
      </c>
      <c r="Y59" s="122">
        <f t="shared" si="13"/>
        <v>28.73076923076923</v>
      </c>
      <c r="Z59" s="123">
        <f t="shared" si="14"/>
        <v>35.11538461538462</v>
      </c>
    </row>
    <row r="60" spans="4:31" x14ac:dyDescent="0.3">
      <c r="D60" s="112" t="s">
        <v>19</v>
      </c>
      <c r="E60" s="135">
        <v>30</v>
      </c>
      <c r="F60" s="136">
        <v>30</v>
      </c>
      <c r="G60" s="136">
        <v>31</v>
      </c>
      <c r="H60" s="136">
        <v>32</v>
      </c>
      <c r="I60" s="136">
        <v>32</v>
      </c>
      <c r="J60" s="136">
        <v>32</v>
      </c>
      <c r="K60" s="136">
        <v>33</v>
      </c>
      <c r="L60" s="136">
        <v>33</v>
      </c>
      <c r="M60" s="136">
        <v>33</v>
      </c>
      <c r="N60" s="136">
        <v>34</v>
      </c>
      <c r="O60" s="136">
        <v>34</v>
      </c>
      <c r="P60" s="136">
        <v>35</v>
      </c>
      <c r="Q60" s="136">
        <v>35</v>
      </c>
      <c r="R60" s="136">
        <v>35</v>
      </c>
      <c r="S60" s="136">
        <v>37</v>
      </c>
      <c r="T60" s="137">
        <v>38</v>
      </c>
      <c r="U60" s="142">
        <f t="shared" si="9"/>
        <v>33.375</v>
      </c>
      <c r="V60" s="120">
        <f t="shared" si="10"/>
        <v>30.037500000000001</v>
      </c>
      <c r="W60" s="121">
        <f t="shared" si="11"/>
        <v>36.712500000000006</v>
      </c>
      <c r="X60" s="146">
        <f t="shared" si="12"/>
        <v>33.25</v>
      </c>
      <c r="Y60" s="122">
        <f t="shared" si="13"/>
        <v>29.925000000000001</v>
      </c>
      <c r="Z60" s="123">
        <f t="shared" si="14"/>
        <v>36.575000000000003</v>
      </c>
    </row>
    <row r="61" spans="4:31" x14ac:dyDescent="0.3">
      <c r="D61" s="112" t="s">
        <v>20</v>
      </c>
      <c r="E61" s="135">
        <v>30</v>
      </c>
      <c r="F61" s="136">
        <v>30</v>
      </c>
      <c r="G61" s="136">
        <v>31</v>
      </c>
      <c r="H61" s="136">
        <v>32</v>
      </c>
      <c r="I61" s="136">
        <v>32</v>
      </c>
      <c r="J61" s="136">
        <v>32</v>
      </c>
      <c r="K61" s="136">
        <v>33</v>
      </c>
      <c r="L61" s="136">
        <v>33</v>
      </c>
      <c r="M61" s="136">
        <v>33</v>
      </c>
      <c r="N61" s="136">
        <v>33</v>
      </c>
      <c r="O61" s="136">
        <v>34</v>
      </c>
      <c r="P61" s="136">
        <v>34</v>
      </c>
      <c r="Q61" s="136">
        <v>34</v>
      </c>
      <c r="R61" s="136">
        <v>34</v>
      </c>
      <c r="S61" s="136">
        <v>37</v>
      </c>
      <c r="T61" s="137">
        <v>39</v>
      </c>
      <c r="U61" s="142">
        <f t="shared" si="9"/>
        <v>33.1875</v>
      </c>
      <c r="V61" s="120">
        <f t="shared" si="10"/>
        <v>29.868750000000002</v>
      </c>
      <c r="W61" s="121">
        <f t="shared" si="11"/>
        <v>36.506250000000001</v>
      </c>
      <c r="X61" s="146">
        <f t="shared" si="12"/>
        <v>32.5</v>
      </c>
      <c r="Y61" s="122">
        <f t="shared" si="13"/>
        <v>29.25</v>
      </c>
      <c r="Z61" s="123">
        <f t="shared" si="14"/>
        <v>35.75</v>
      </c>
    </row>
    <row r="62" spans="4:31" x14ac:dyDescent="0.3">
      <c r="D62" s="112" t="s">
        <v>21</v>
      </c>
      <c r="E62" s="135">
        <v>28</v>
      </c>
      <c r="F62" s="136">
        <v>30</v>
      </c>
      <c r="G62" s="136">
        <v>30</v>
      </c>
      <c r="H62" s="136">
        <v>30</v>
      </c>
      <c r="I62" s="136">
        <v>30</v>
      </c>
      <c r="J62" s="136">
        <v>32</v>
      </c>
      <c r="K62" s="136">
        <v>32</v>
      </c>
      <c r="L62" s="136">
        <v>32</v>
      </c>
      <c r="M62" s="136">
        <v>32</v>
      </c>
      <c r="N62" s="136">
        <v>32</v>
      </c>
      <c r="O62" s="136">
        <v>32</v>
      </c>
      <c r="P62" s="136">
        <v>33</v>
      </c>
      <c r="Q62" s="136">
        <v>33</v>
      </c>
      <c r="R62" s="136">
        <v>37</v>
      </c>
      <c r="S62" s="136">
        <v>39</v>
      </c>
      <c r="T62" s="137">
        <v>40</v>
      </c>
      <c r="U62" s="142">
        <f t="shared" si="9"/>
        <v>32.625</v>
      </c>
      <c r="V62" s="120">
        <f t="shared" si="10"/>
        <v>29.362500000000001</v>
      </c>
      <c r="W62" s="121">
        <f t="shared" si="11"/>
        <v>35.887500000000003</v>
      </c>
      <c r="X62" s="146">
        <f t="shared" si="12"/>
        <v>31.5</v>
      </c>
      <c r="Y62" s="122">
        <f t="shared" si="13"/>
        <v>28.35</v>
      </c>
      <c r="Z62" s="123">
        <f t="shared" si="14"/>
        <v>34.650000000000006</v>
      </c>
    </row>
    <row r="63" spans="4:31" x14ac:dyDescent="0.3">
      <c r="D63" s="112" t="s">
        <v>22</v>
      </c>
      <c r="E63" s="135">
        <v>25</v>
      </c>
      <c r="F63" s="136">
        <v>29</v>
      </c>
      <c r="G63" s="136">
        <v>30</v>
      </c>
      <c r="H63" s="136">
        <v>32</v>
      </c>
      <c r="I63" s="136">
        <v>32</v>
      </c>
      <c r="J63" s="136">
        <v>32</v>
      </c>
      <c r="K63" s="136">
        <v>32</v>
      </c>
      <c r="L63" s="136">
        <v>32</v>
      </c>
      <c r="M63" s="136">
        <v>32</v>
      </c>
      <c r="N63" s="136">
        <v>32</v>
      </c>
      <c r="O63" s="136">
        <v>32</v>
      </c>
      <c r="P63" s="136">
        <v>33</v>
      </c>
      <c r="Q63" s="136">
        <v>34</v>
      </c>
      <c r="R63" s="136">
        <v>34</v>
      </c>
      <c r="S63" s="136">
        <v>35</v>
      </c>
      <c r="T63" s="137">
        <v>38</v>
      </c>
      <c r="U63" s="142">
        <f t="shared" si="9"/>
        <v>32.125</v>
      </c>
      <c r="V63" s="120">
        <f t="shared" si="10"/>
        <v>28.912500000000001</v>
      </c>
      <c r="W63" s="121">
        <f t="shared" si="11"/>
        <v>35.337500000000006</v>
      </c>
      <c r="X63" s="146">
        <f t="shared" si="12"/>
        <v>32.214285714285715</v>
      </c>
      <c r="Y63" s="122">
        <f t="shared" si="13"/>
        <v>28.992857142857144</v>
      </c>
      <c r="Z63" s="123">
        <f t="shared" si="14"/>
        <v>35.43571428571429</v>
      </c>
    </row>
    <row r="64" spans="4:31" x14ac:dyDescent="0.3">
      <c r="D64" s="112" t="s">
        <v>23</v>
      </c>
      <c r="E64" s="135">
        <v>29</v>
      </c>
      <c r="F64" s="136">
        <v>30</v>
      </c>
      <c r="G64" s="136">
        <v>30</v>
      </c>
      <c r="H64" s="136">
        <v>30</v>
      </c>
      <c r="I64" s="136">
        <v>31</v>
      </c>
      <c r="J64" s="136">
        <v>31</v>
      </c>
      <c r="K64" s="136">
        <v>32</v>
      </c>
      <c r="L64" s="136">
        <v>32</v>
      </c>
      <c r="M64" s="136">
        <v>33</v>
      </c>
      <c r="N64" s="136">
        <v>33</v>
      </c>
      <c r="O64" s="136">
        <v>34</v>
      </c>
      <c r="P64" s="136">
        <v>34</v>
      </c>
      <c r="Q64" s="136">
        <v>35</v>
      </c>
      <c r="R64" s="136">
        <v>35</v>
      </c>
      <c r="S64" s="136">
        <v>38</v>
      </c>
      <c r="T64" s="137">
        <v>47</v>
      </c>
      <c r="U64" s="142">
        <f t="shared" si="9"/>
        <v>33.375</v>
      </c>
      <c r="V64" s="120">
        <f t="shared" si="10"/>
        <v>30.037500000000001</v>
      </c>
      <c r="W64" s="121">
        <f t="shared" si="11"/>
        <v>36.712500000000006</v>
      </c>
      <c r="X64" s="146">
        <f t="shared" si="12"/>
        <v>33</v>
      </c>
      <c r="Y64" s="122">
        <f t="shared" si="13"/>
        <v>29.7</v>
      </c>
      <c r="Z64" s="123">
        <f t="shared" si="14"/>
        <v>36.300000000000004</v>
      </c>
    </row>
    <row r="65" spans="4:26" x14ac:dyDescent="0.3">
      <c r="D65" s="112" t="s">
        <v>24</v>
      </c>
      <c r="E65" s="135">
        <v>26</v>
      </c>
      <c r="F65" s="136">
        <v>29</v>
      </c>
      <c r="G65" s="136">
        <v>29</v>
      </c>
      <c r="H65" s="136">
        <v>29</v>
      </c>
      <c r="I65" s="136">
        <v>29</v>
      </c>
      <c r="J65" s="136">
        <v>29</v>
      </c>
      <c r="K65" s="136">
        <v>30</v>
      </c>
      <c r="L65" s="136">
        <v>30</v>
      </c>
      <c r="M65" s="136">
        <v>30</v>
      </c>
      <c r="N65" s="136">
        <v>30</v>
      </c>
      <c r="O65" s="136">
        <v>30</v>
      </c>
      <c r="P65" s="136">
        <v>31</v>
      </c>
      <c r="Q65" s="136">
        <v>32</v>
      </c>
      <c r="R65" s="136">
        <v>33</v>
      </c>
      <c r="S65" s="136">
        <v>34</v>
      </c>
      <c r="T65" s="137">
        <v>36</v>
      </c>
      <c r="U65" s="142">
        <f t="shared" si="9"/>
        <v>30.4375</v>
      </c>
      <c r="V65" s="120">
        <f t="shared" si="10"/>
        <v>27.393750000000001</v>
      </c>
      <c r="W65" s="121">
        <f t="shared" si="11"/>
        <v>33.481250000000003</v>
      </c>
      <c r="X65" s="146">
        <f t="shared" si="12"/>
        <v>30.076923076923077</v>
      </c>
      <c r="Y65" s="122">
        <f t="shared" si="13"/>
        <v>27.069230769230771</v>
      </c>
      <c r="Z65" s="123">
        <f t="shared" si="14"/>
        <v>33.08461538461539</v>
      </c>
    </row>
    <row r="66" spans="4:26" x14ac:dyDescent="0.3">
      <c r="D66" s="112" t="s">
        <v>25</v>
      </c>
      <c r="E66" s="135">
        <v>30</v>
      </c>
      <c r="F66" s="136">
        <v>31</v>
      </c>
      <c r="G66" s="136">
        <v>32</v>
      </c>
      <c r="H66" s="136">
        <v>32</v>
      </c>
      <c r="I66" s="136">
        <v>33</v>
      </c>
      <c r="J66" s="136">
        <v>33</v>
      </c>
      <c r="K66" s="136">
        <v>34</v>
      </c>
      <c r="L66" s="136">
        <v>34</v>
      </c>
      <c r="M66" s="136">
        <v>34</v>
      </c>
      <c r="N66" s="136">
        <v>34</v>
      </c>
      <c r="O66" s="136">
        <v>35</v>
      </c>
      <c r="P66" s="136">
        <v>35</v>
      </c>
      <c r="Q66" s="136">
        <v>36</v>
      </c>
      <c r="R66" s="136">
        <v>37</v>
      </c>
      <c r="S66" s="136">
        <v>38</v>
      </c>
      <c r="T66" s="137">
        <v>45</v>
      </c>
      <c r="U66" s="142">
        <f t="shared" si="9"/>
        <v>34.5625</v>
      </c>
      <c r="V66" s="120">
        <f t="shared" si="10"/>
        <v>31.106249999999999</v>
      </c>
      <c r="W66" s="121">
        <f t="shared" si="11"/>
        <v>38.018750000000004</v>
      </c>
      <c r="X66" s="146">
        <f t="shared" si="12"/>
        <v>34.384615384615387</v>
      </c>
      <c r="Y66" s="122">
        <f t="shared" si="13"/>
        <v>30.946153846153848</v>
      </c>
      <c r="Z66" s="123">
        <f t="shared" si="14"/>
        <v>37.823076923076925</v>
      </c>
    </row>
    <row r="67" spans="4:26" x14ac:dyDescent="0.3">
      <c r="D67" s="112" t="s">
        <v>26</v>
      </c>
      <c r="E67" s="135">
        <v>29</v>
      </c>
      <c r="F67" s="136">
        <v>31</v>
      </c>
      <c r="G67" s="136">
        <v>31</v>
      </c>
      <c r="H67" s="136">
        <v>31</v>
      </c>
      <c r="I67" s="136">
        <v>31</v>
      </c>
      <c r="J67" s="136">
        <v>31</v>
      </c>
      <c r="K67" s="136">
        <v>31</v>
      </c>
      <c r="L67" s="136">
        <v>32</v>
      </c>
      <c r="M67" s="136">
        <v>33</v>
      </c>
      <c r="N67" s="136">
        <v>33</v>
      </c>
      <c r="O67" s="136">
        <v>34</v>
      </c>
      <c r="P67" s="136">
        <v>35</v>
      </c>
      <c r="Q67" s="136">
        <v>37</v>
      </c>
      <c r="R67" s="136">
        <v>39</v>
      </c>
      <c r="S67" s="136">
        <v>41</v>
      </c>
      <c r="T67" s="137">
        <v>48</v>
      </c>
      <c r="U67" s="142">
        <f>AVERAGE(E67:T67)</f>
        <v>34.1875</v>
      </c>
      <c r="V67" s="120">
        <f t="shared" si="10"/>
        <v>30.768750000000001</v>
      </c>
      <c r="W67" s="121">
        <f t="shared" si="11"/>
        <v>37.606250000000003</v>
      </c>
      <c r="X67" s="146">
        <f>AVERAGEIFS(E67:T67,E67:T67,"&gt;"&amp;V67, E67:T67, "&lt;"&amp;W67)</f>
        <v>32.5</v>
      </c>
      <c r="Y67" s="122">
        <f t="shared" si="13"/>
        <v>29.25</v>
      </c>
      <c r="Z67" s="123">
        <f t="shared" si="14"/>
        <v>35.75</v>
      </c>
    </row>
    <row r="68" spans="4:26" x14ac:dyDescent="0.3">
      <c r="D68" s="112" t="s">
        <v>27</v>
      </c>
      <c r="E68" s="135">
        <v>30</v>
      </c>
      <c r="F68" s="136">
        <v>32</v>
      </c>
      <c r="G68" s="136">
        <v>32</v>
      </c>
      <c r="H68" s="136">
        <v>32</v>
      </c>
      <c r="I68" s="136">
        <v>32</v>
      </c>
      <c r="J68" s="136">
        <v>33</v>
      </c>
      <c r="K68" s="136">
        <v>33</v>
      </c>
      <c r="L68" s="136">
        <v>34</v>
      </c>
      <c r="M68" s="136">
        <v>34</v>
      </c>
      <c r="N68" s="136">
        <v>34</v>
      </c>
      <c r="O68" s="136">
        <v>34</v>
      </c>
      <c r="P68" s="136">
        <v>36</v>
      </c>
      <c r="Q68" s="136">
        <v>36</v>
      </c>
      <c r="R68" s="136">
        <v>37</v>
      </c>
      <c r="S68" s="136">
        <v>37</v>
      </c>
      <c r="T68" s="137">
        <v>41</v>
      </c>
      <c r="U68" s="142">
        <f t="shared" ref="U68:U72" si="15">AVERAGE(E68:T68)</f>
        <v>34.1875</v>
      </c>
      <c r="V68" s="120">
        <f t="shared" si="10"/>
        <v>30.768750000000001</v>
      </c>
      <c r="W68" s="121">
        <f t="shared" si="11"/>
        <v>37.606250000000003</v>
      </c>
      <c r="X68" s="146">
        <f t="shared" ref="X68:X72" si="16">AVERAGEIFS(E68:T68,E68:T68,"&gt;"&amp;V68, E68:T68, "&lt;"&amp;W68)</f>
        <v>34</v>
      </c>
      <c r="Y68" s="122">
        <f t="shared" si="13"/>
        <v>30.6</v>
      </c>
      <c r="Z68" s="123">
        <f t="shared" si="14"/>
        <v>37.400000000000006</v>
      </c>
    </row>
    <row r="69" spans="4:26" x14ac:dyDescent="0.3">
      <c r="D69" s="112" t="s">
        <v>28</v>
      </c>
      <c r="E69" s="135">
        <v>30</v>
      </c>
      <c r="F69" s="136">
        <v>31</v>
      </c>
      <c r="G69" s="136">
        <v>32</v>
      </c>
      <c r="H69" s="136">
        <v>32</v>
      </c>
      <c r="I69" s="136">
        <v>33</v>
      </c>
      <c r="J69" s="136">
        <v>34</v>
      </c>
      <c r="K69" s="136">
        <v>34</v>
      </c>
      <c r="L69" s="136">
        <v>34</v>
      </c>
      <c r="M69" s="136">
        <v>35</v>
      </c>
      <c r="N69" s="136">
        <v>35</v>
      </c>
      <c r="O69" s="136">
        <v>36</v>
      </c>
      <c r="P69" s="136">
        <v>36</v>
      </c>
      <c r="Q69" s="136">
        <v>36</v>
      </c>
      <c r="R69" s="136">
        <v>36</v>
      </c>
      <c r="S69" s="136">
        <v>36</v>
      </c>
      <c r="T69" s="137">
        <v>40</v>
      </c>
      <c r="U69" s="142">
        <f t="shared" si="15"/>
        <v>34.375</v>
      </c>
      <c r="V69" s="120">
        <f t="shared" si="10"/>
        <v>30.9375</v>
      </c>
      <c r="W69" s="121">
        <f t="shared" si="11"/>
        <v>37.8125</v>
      </c>
      <c r="X69" s="146">
        <f t="shared" si="16"/>
        <v>34.285714285714285</v>
      </c>
      <c r="Y69" s="122">
        <f t="shared" si="13"/>
        <v>30.857142857142858</v>
      </c>
      <c r="Z69" s="123">
        <f t="shared" si="14"/>
        <v>37.714285714285715</v>
      </c>
    </row>
    <row r="70" spans="4:26" x14ac:dyDescent="0.3">
      <c r="D70" s="112" t="s">
        <v>29</v>
      </c>
      <c r="E70" s="135">
        <v>33</v>
      </c>
      <c r="F70" s="136">
        <v>34</v>
      </c>
      <c r="G70" s="136">
        <v>35</v>
      </c>
      <c r="H70" s="136">
        <v>35</v>
      </c>
      <c r="I70" s="136">
        <v>35</v>
      </c>
      <c r="J70" s="136">
        <v>36</v>
      </c>
      <c r="K70" s="136">
        <v>36</v>
      </c>
      <c r="L70" s="136">
        <v>36</v>
      </c>
      <c r="M70" s="136">
        <v>36</v>
      </c>
      <c r="N70" s="136">
        <v>36</v>
      </c>
      <c r="O70" s="136">
        <v>37</v>
      </c>
      <c r="P70" s="136">
        <v>38</v>
      </c>
      <c r="Q70" s="136">
        <v>38</v>
      </c>
      <c r="R70" s="136">
        <v>39</v>
      </c>
      <c r="S70" s="136">
        <v>39</v>
      </c>
      <c r="T70" s="137">
        <v>40</v>
      </c>
      <c r="U70" s="142">
        <f t="shared" si="15"/>
        <v>36.4375</v>
      </c>
      <c r="V70" s="120">
        <f t="shared" si="10"/>
        <v>32.793750000000003</v>
      </c>
      <c r="W70" s="121">
        <f t="shared" si="11"/>
        <v>40.081250000000004</v>
      </c>
      <c r="X70" s="146">
        <f t="shared" si="16"/>
        <v>36.4375</v>
      </c>
      <c r="Y70" s="122">
        <f t="shared" si="13"/>
        <v>32.793750000000003</v>
      </c>
      <c r="Z70" s="123">
        <f t="shared" si="14"/>
        <v>40.081250000000004</v>
      </c>
    </row>
    <row r="71" spans="4:26" x14ac:dyDescent="0.3">
      <c r="D71" s="112" t="s">
        <v>30</v>
      </c>
      <c r="E71" s="135">
        <v>32</v>
      </c>
      <c r="F71" s="136">
        <v>33</v>
      </c>
      <c r="G71" s="136">
        <v>33</v>
      </c>
      <c r="H71" s="136">
        <v>33</v>
      </c>
      <c r="I71" s="136">
        <v>34</v>
      </c>
      <c r="J71" s="136">
        <v>34</v>
      </c>
      <c r="K71" s="136">
        <v>34</v>
      </c>
      <c r="L71" s="136">
        <v>35</v>
      </c>
      <c r="M71" s="136">
        <v>36</v>
      </c>
      <c r="N71" s="136">
        <v>37</v>
      </c>
      <c r="O71" s="136">
        <v>37</v>
      </c>
      <c r="P71" s="136">
        <v>37</v>
      </c>
      <c r="Q71" s="136">
        <v>37</v>
      </c>
      <c r="R71" s="136">
        <v>38</v>
      </c>
      <c r="S71" s="136">
        <v>38</v>
      </c>
      <c r="T71" s="137">
        <v>39</v>
      </c>
      <c r="U71" s="142">
        <f t="shared" si="15"/>
        <v>35.4375</v>
      </c>
      <c r="V71" s="120">
        <f t="shared" si="10"/>
        <v>31.893750000000001</v>
      </c>
      <c r="W71" s="121">
        <f t="shared" si="11"/>
        <v>38.981250000000003</v>
      </c>
      <c r="X71" s="146">
        <f t="shared" si="16"/>
        <v>35.200000000000003</v>
      </c>
      <c r="Y71" s="122">
        <f t="shared" si="13"/>
        <v>31.680000000000003</v>
      </c>
      <c r="Z71" s="123">
        <f t="shared" si="14"/>
        <v>38.720000000000006</v>
      </c>
    </row>
    <row r="72" spans="4:26" x14ac:dyDescent="0.3">
      <c r="D72" s="113" t="s">
        <v>31</v>
      </c>
      <c r="E72" s="135">
        <v>37</v>
      </c>
      <c r="F72" s="136">
        <v>39</v>
      </c>
      <c r="G72" s="136">
        <v>40</v>
      </c>
      <c r="H72" s="136">
        <v>41</v>
      </c>
      <c r="I72" s="136">
        <v>42</v>
      </c>
      <c r="J72" s="136">
        <v>42</v>
      </c>
      <c r="K72" s="136">
        <v>42</v>
      </c>
      <c r="L72" s="136">
        <v>42</v>
      </c>
      <c r="M72" s="136">
        <v>43</v>
      </c>
      <c r="N72" s="136">
        <v>43</v>
      </c>
      <c r="O72" s="136">
        <v>43</v>
      </c>
      <c r="P72" s="136">
        <v>43</v>
      </c>
      <c r="Q72" s="136">
        <v>44</v>
      </c>
      <c r="R72" s="136">
        <v>44</v>
      </c>
      <c r="S72" s="136">
        <v>44</v>
      </c>
      <c r="T72" s="137">
        <v>44</v>
      </c>
      <c r="U72" s="143">
        <f t="shared" si="15"/>
        <v>42.0625</v>
      </c>
      <c r="V72" s="124">
        <f t="shared" si="10"/>
        <v>37.856250000000003</v>
      </c>
      <c r="W72" s="125">
        <f t="shared" si="11"/>
        <v>46.268750000000004</v>
      </c>
      <c r="X72" s="147">
        <f t="shared" si="16"/>
        <v>42.4</v>
      </c>
      <c r="Y72" s="126">
        <f t="shared" si="13"/>
        <v>38.159999999999997</v>
      </c>
      <c r="Z72" s="127">
        <f t="shared" si="14"/>
        <v>46.64</v>
      </c>
    </row>
    <row r="73" spans="4:26" hidden="1" x14ac:dyDescent="0.3">
      <c r="D73" s="114" t="s">
        <v>165</v>
      </c>
      <c r="E73" s="135">
        <v>29</v>
      </c>
      <c r="F73" s="136">
        <v>31</v>
      </c>
      <c r="G73" s="136">
        <v>31</v>
      </c>
      <c r="H73" s="136">
        <v>31</v>
      </c>
      <c r="I73" s="136">
        <v>31</v>
      </c>
      <c r="J73" s="136">
        <v>31</v>
      </c>
      <c r="K73" s="136">
        <v>31</v>
      </c>
      <c r="L73" s="136">
        <v>32</v>
      </c>
      <c r="M73" s="136">
        <v>33</v>
      </c>
      <c r="N73" s="136">
        <v>33</v>
      </c>
      <c r="O73" s="136">
        <v>34</v>
      </c>
      <c r="P73" s="136">
        <v>35</v>
      </c>
      <c r="Q73" s="136">
        <v>37</v>
      </c>
      <c r="R73" s="136">
        <v>39</v>
      </c>
      <c r="S73" s="136">
        <v>41</v>
      </c>
      <c r="T73" s="137">
        <v>48</v>
      </c>
      <c r="U73" s="141">
        <f>AVERAGE(E73:T73)</f>
        <v>34.1875</v>
      </c>
      <c r="V73" s="116">
        <f>U73*0.9</f>
        <v>30.768750000000001</v>
      </c>
      <c r="W73" s="117">
        <f>U73*1.1</f>
        <v>37.606250000000003</v>
      </c>
      <c r="X73" s="145">
        <f>AVERAGEIFS(E73:T73,E73:T73,"&gt;"&amp;V73, E73:T73, "&lt;"&amp;W73)</f>
        <v>32.5</v>
      </c>
      <c r="Y73" s="118">
        <f>X73*0.9</f>
        <v>29.25</v>
      </c>
      <c r="Z73" s="119">
        <f t="shared" si="14"/>
        <v>35.75</v>
      </c>
    </row>
    <row r="74" spans="4:26" hidden="1" x14ac:dyDescent="0.3">
      <c r="D74" s="112" t="s">
        <v>166</v>
      </c>
      <c r="E74" s="135">
        <v>30</v>
      </c>
      <c r="F74" s="136">
        <v>31</v>
      </c>
      <c r="G74" s="136">
        <v>32</v>
      </c>
      <c r="H74" s="136">
        <v>32</v>
      </c>
      <c r="I74" s="136">
        <v>33</v>
      </c>
      <c r="J74" s="136">
        <v>33</v>
      </c>
      <c r="K74" s="136">
        <v>34</v>
      </c>
      <c r="L74" s="136">
        <v>34</v>
      </c>
      <c r="M74" s="136">
        <v>34</v>
      </c>
      <c r="N74" s="136">
        <v>34</v>
      </c>
      <c r="O74" s="136">
        <v>35</v>
      </c>
      <c r="P74" s="136">
        <v>35</v>
      </c>
      <c r="Q74" s="136">
        <v>36</v>
      </c>
      <c r="R74" s="136">
        <v>37</v>
      </c>
      <c r="S74" s="136">
        <v>38</v>
      </c>
      <c r="T74" s="137">
        <v>45</v>
      </c>
      <c r="U74" s="142">
        <f t="shared" ref="U74:U88" si="17">AVERAGE(E74:T74)</f>
        <v>34.5625</v>
      </c>
      <c r="V74" s="120">
        <f t="shared" ref="V74:V88" si="18">U74*0.9</f>
        <v>31.106249999999999</v>
      </c>
      <c r="W74" s="121">
        <f t="shared" ref="W74:W88" si="19">U74*1.1</f>
        <v>38.018750000000004</v>
      </c>
      <c r="X74" s="146">
        <f t="shared" ref="X74:X88" si="20">AVERAGEIFS(E74:T74,E74:T74,"&gt;"&amp;V74, E74:T74, "&lt;"&amp;W74)</f>
        <v>34.384615384615387</v>
      </c>
      <c r="Y74" s="122">
        <f t="shared" ref="Y74:Y88" si="21">X74*0.9</f>
        <v>30.946153846153848</v>
      </c>
      <c r="Z74" s="123">
        <f t="shared" si="14"/>
        <v>37.823076923076925</v>
      </c>
    </row>
    <row r="75" spans="4:26" x14ac:dyDescent="0.3">
      <c r="D75" s="112" t="s">
        <v>158</v>
      </c>
      <c r="E75" s="135">
        <v>38</v>
      </c>
      <c r="F75" s="136">
        <v>39</v>
      </c>
      <c r="G75" s="136">
        <v>40</v>
      </c>
      <c r="H75" s="136">
        <v>41</v>
      </c>
      <c r="I75" s="136">
        <v>42</v>
      </c>
      <c r="J75" s="136">
        <v>42</v>
      </c>
      <c r="K75" s="136">
        <v>42</v>
      </c>
      <c r="L75" s="136">
        <v>43</v>
      </c>
      <c r="M75" s="136">
        <v>43</v>
      </c>
      <c r="N75" s="136">
        <v>43</v>
      </c>
      <c r="O75" s="136">
        <v>43</v>
      </c>
      <c r="P75" s="136">
        <v>44</v>
      </c>
      <c r="Q75" s="136">
        <v>44</v>
      </c>
      <c r="R75" s="136">
        <v>45</v>
      </c>
      <c r="S75" s="136">
        <v>46</v>
      </c>
      <c r="T75" s="137">
        <v>47</v>
      </c>
      <c r="U75" s="142">
        <f t="shared" si="17"/>
        <v>42.625</v>
      </c>
      <c r="V75" s="120">
        <f t="shared" si="18"/>
        <v>38.362500000000004</v>
      </c>
      <c r="W75" s="121">
        <f t="shared" si="19"/>
        <v>46.887500000000003</v>
      </c>
      <c r="X75" s="146">
        <f t="shared" si="20"/>
        <v>42.642857142857146</v>
      </c>
      <c r="Y75" s="122">
        <f t="shared" si="21"/>
        <v>38.378571428571433</v>
      </c>
      <c r="Z75" s="123">
        <f t="shared" si="14"/>
        <v>46.907142857142865</v>
      </c>
    </row>
    <row r="76" spans="4:26" x14ac:dyDescent="0.3">
      <c r="D76" s="112" t="s">
        <v>159</v>
      </c>
      <c r="E76" s="135">
        <v>42</v>
      </c>
      <c r="F76" s="136">
        <v>46</v>
      </c>
      <c r="G76" s="136">
        <v>46</v>
      </c>
      <c r="H76" s="136">
        <v>46</v>
      </c>
      <c r="I76" s="136">
        <v>46</v>
      </c>
      <c r="J76" s="136">
        <v>47</v>
      </c>
      <c r="K76" s="136">
        <v>47</v>
      </c>
      <c r="L76" s="136">
        <v>48</v>
      </c>
      <c r="M76" s="136">
        <v>48</v>
      </c>
      <c r="N76" s="136">
        <v>48</v>
      </c>
      <c r="O76" s="136">
        <v>48</v>
      </c>
      <c r="P76" s="136">
        <v>48</v>
      </c>
      <c r="Q76" s="136">
        <v>49</v>
      </c>
      <c r="R76" s="136">
        <v>50</v>
      </c>
      <c r="S76" s="136">
        <v>50</v>
      </c>
      <c r="T76" s="137">
        <v>55</v>
      </c>
      <c r="U76" s="142">
        <f t="shared" si="17"/>
        <v>47.75</v>
      </c>
      <c r="V76" s="120">
        <f t="shared" si="18"/>
        <v>42.975000000000001</v>
      </c>
      <c r="W76" s="121">
        <f t="shared" si="19"/>
        <v>52.525000000000006</v>
      </c>
      <c r="X76" s="146">
        <f t="shared" si="20"/>
        <v>47.642857142857146</v>
      </c>
      <c r="Y76" s="122">
        <f t="shared" si="21"/>
        <v>42.878571428571433</v>
      </c>
      <c r="Z76" s="123">
        <f t="shared" si="14"/>
        <v>52.407142857142865</v>
      </c>
    </row>
    <row r="77" spans="4:26" x14ac:dyDescent="0.3">
      <c r="D77" s="112" t="s">
        <v>160</v>
      </c>
      <c r="E77" s="135">
        <v>41</v>
      </c>
      <c r="F77" s="136">
        <v>41</v>
      </c>
      <c r="G77" s="136">
        <v>41</v>
      </c>
      <c r="H77" s="136">
        <v>42</v>
      </c>
      <c r="I77" s="136">
        <v>42</v>
      </c>
      <c r="J77" s="136">
        <v>43</v>
      </c>
      <c r="K77" s="136">
        <v>44</v>
      </c>
      <c r="L77" s="136">
        <v>44</v>
      </c>
      <c r="M77" s="136">
        <v>44</v>
      </c>
      <c r="N77" s="136">
        <v>46</v>
      </c>
      <c r="O77" s="136">
        <v>48</v>
      </c>
      <c r="P77" s="136">
        <v>48</v>
      </c>
      <c r="Q77" s="136">
        <v>48</v>
      </c>
      <c r="R77" s="136">
        <v>50</v>
      </c>
      <c r="S77" s="136">
        <v>50</v>
      </c>
      <c r="T77" s="137">
        <v>50</v>
      </c>
      <c r="U77" s="142">
        <f t="shared" si="17"/>
        <v>45.125</v>
      </c>
      <c r="V77" s="120">
        <f t="shared" si="18"/>
        <v>40.612500000000004</v>
      </c>
      <c r="W77" s="121">
        <f t="shared" si="19"/>
        <v>49.637500000000003</v>
      </c>
      <c r="X77" s="146">
        <f t="shared" si="20"/>
        <v>44</v>
      </c>
      <c r="Y77" s="122">
        <f t="shared" si="21"/>
        <v>39.6</v>
      </c>
      <c r="Z77" s="123">
        <f t="shared" si="14"/>
        <v>48.400000000000006</v>
      </c>
    </row>
    <row r="78" spans="4:26" x14ac:dyDescent="0.3">
      <c r="D78" s="112" t="s">
        <v>161</v>
      </c>
      <c r="E78" s="135">
        <v>40</v>
      </c>
      <c r="F78" s="136">
        <v>41</v>
      </c>
      <c r="G78" s="136">
        <v>43</v>
      </c>
      <c r="H78" s="136">
        <v>43</v>
      </c>
      <c r="I78" s="136">
        <v>43</v>
      </c>
      <c r="J78" s="136">
        <v>44</v>
      </c>
      <c r="K78" s="136">
        <v>44</v>
      </c>
      <c r="L78" s="136">
        <v>45</v>
      </c>
      <c r="M78" s="136">
        <v>48</v>
      </c>
      <c r="N78" s="136">
        <v>48</v>
      </c>
      <c r="O78" s="136">
        <v>48</v>
      </c>
      <c r="P78" s="136">
        <v>48</v>
      </c>
      <c r="Q78" s="136">
        <v>49</v>
      </c>
      <c r="R78" s="136">
        <v>49</v>
      </c>
      <c r="S78" s="136">
        <v>50</v>
      </c>
      <c r="T78" s="137">
        <v>59</v>
      </c>
      <c r="U78" s="142">
        <f t="shared" si="17"/>
        <v>46.375</v>
      </c>
      <c r="V78" s="120">
        <f t="shared" si="18"/>
        <v>41.737500000000004</v>
      </c>
      <c r="W78" s="121">
        <f t="shared" si="19"/>
        <v>51.012500000000003</v>
      </c>
      <c r="X78" s="146">
        <f t="shared" si="20"/>
        <v>46.307692307692307</v>
      </c>
      <c r="Y78" s="122">
        <f t="shared" si="21"/>
        <v>41.676923076923075</v>
      </c>
      <c r="Z78" s="123">
        <f t="shared" si="14"/>
        <v>50.938461538461539</v>
      </c>
    </row>
    <row r="79" spans="4:26" ht="15" thickBot="1" x14ac:dyDescent="0.35">
      <c r="D79" s="115" t="s">
        <v>162</v>
      </c>
      <c r="E79" s="138">
        <v>39</v>
      </c>
      <c r="F79" s="139">
        <v>39</v>
      </c>
      <c r="G79" s="139">
        <v>41</v>
      </c>
      <c r="H79" s="139">
        <v>41</v>
      </c>
      <c r="I79" s="139">
        <v>43</v>
      </c>
      <c r="J79" s="139">
        <v>43</v>
      </c>
      <c r="K79" s="139">
        <v>43</v>
      </c>
      <c r="L79" s="139">
        <v>43</v>
      </c>
      <c r="M79" s="139">
        <v>43</v>
      </c>
      <c r="N79" s="139">
        <v>43</v>
      </c>
      <c r="O79" s="139">
        <v>44</v>
      </c>
      <c r="P79" s="139">
        <v>44</v>
      </c>
      <c r="Q79" s="139">
        <v>44</v>
      </c>
      <c r="R79" s="139">
        <v>44</v>
      </c>
      <c r="S79" s="139">
        <v>45</v>
      </c>
      <c r="T79" s="140">
        <v>45</v>
      </c>
      <c r="U79" s="144">
        <f t="shared" si="17"/>
        <v>42.75</v>
      </c>
      <c r="V79" s="128">
        <f t="shared" si="18"/>
        <v>38.475000000000001</v>
      </c>
      <c r="W79" s="129">
        <f t="shared" si="19"/>
        <v>47.025000000000006</v>
      </c>
      <c r="X79" s="148">
        <f t="shared" si="20"/>
        <v>42.75</v>
      </c>
      <c r="Y79" s="130">
        <f t="shared" si="21"/>
        <v>38.475000000000001</v>
      </c>
      <c r="Z79" s="131">
        <f t="shared" si="14"/>
        <v>47.025000000000006</v>
      </c>
    </row>
    <row r="80" spans="4:26" hidden="1" x14ac:dyDescent="0.3">
      <c r="D80" s="94" t="s">
        <v>145</v>
      </c>
      <c r="E80" s="95">
        <v>30</v>
      </c>
      <c r="F80" s="96">
        <v>30</v>
      </c>
      <c r="G80" s="96">
        <v>30</v>
      </c>
      <c r="H80" s="96">
        <v>30</v>
      </c>
      <c r="I80" s="96">
        <v>30</v>
      </c>
      <c r="J80" s="96">
        <v>30</v>
      </c>
      <c r="K80" s="96">
        <v>30</v>
      </c>
      <c r="L80" s="96">
        <v>30</v>
      </c>
      <c r="M80" s="96">
        <v>30</v>
      </c>
      <c r="N80" s="96">
        <v>30</v>
      </c>
      <c r="O80" s="96">
        <v>30</v>
      </c>
      <c r="P80" s="96">
        <v>30</v>
      </c>
      <c r="Q80" s="96">
        <v>30</v>
      </c>
      <c r="R80" s="96">
        <v>30</v>
      </c>
      <c r="S80" s="96">
        <v>30</v>
      </c>
      <c r="T80" s="97">
        <v>30</v>
      </c>
      <c r="U80" s="71">
        <f t="shared" si="17"/>
        <v>30</v>
      </c>
      <c r="V80" s="13">
        <f t="shared" si="18"/>
        <v>27</v>
      </c>
      <c r="W80" s="53">
        <f t="shared" si="19"/>
        <v>33</v>
      </c>
      <c r="X80" s="14">
        <f t="shared" si="20"/>
        <v>30</v>
      </c>
      <c r="Y80" s="56">
        <f t="shared" si="21"/>
        <v>27</v>
      </c>
      <c r="Z80" s="59">
        <f t="shared" si="14"/>
        <v>33</v>
      </c>
    </row>
    <row r="81" spans="4:26" hidden="1" x14ac:dyDescent="0.3">
      <c r="D81" s="11" t="s">
        <v>146</v>
      </c>
      <c r="E81" s="81">
        <v>30</v>
      </c>
      <c r="F81" s="77">
        <v>30</v>
      </c>
      <c r="G81" s="77">
        <v>30</v>
      </c>
      <c r="H81" s="77">
        <v>30</v>
      </c>
      <c r="I81" s="77">
        <v>30</v>
      </c>
      <c r="J81" s="77">
        <v>30</v>
      </c>
      <c r="K81" s="77">
        <v>30</v>
      </c>
      <c r="L81" s="77">
        <v>30</v>
      </c>
      <c r="M81" s="77">
        <v>30</v>
      </c>
      <c r="N81" s="77">
        <v>30</v>
      </c>
      <c r="O81" s="77">
        <v>30</v>
      </c>
      <c r="P81" s="77">
        <v>30</v>
      </c>
      <c r="Q81" s="77">
        <v>30</v>
      </c>
      <c r="R81" s="77">
        <v>30</v>
      </c>
      <c r="S81" s="77">
        <v>30</v>
      </c>
      <c r="T81" s="82">
        <v>30</v>
      </c>
      <c r="U81" s="72">
        <f t="shared" si="17"/>
        <v>30</v>
      </c>
      <c r="V81" s="7">
        <f t="shared" si="18"/>
        <v>27</v>
      </c>
      <c r="W81" s="54">
        <f t="shared" si="19"/>
        <v>33</v>
      </c>
      <c r="X81" s="9">
        <f t="shared" si="20"/>
        <v>30</v>
      </c>
      <c r="Y81" s="57">
        <f t="shared" si="21"/>
        <v>27</v>
      </c>
      <c r="Z81" s="60">
        <f t="shared" si="14"/>
        <v>33</v>
      </c>
    </row>
    <row r="82" spans="4:26" hidden="1" x14ac:dyDescent="0.3">
      <c r="D82" s="11" t="s">
        <v>147</v>
      </c>
      <c r="E82" s="81">
        <v>30</v>
      </c>
      <c r="F82" s="77">
        <v>30</v>
      </c>
      <c r="G82" s="77">
        <v>30</v>
      </c>
      <c r="H82" s="77">
        <v>30</v>
      </c>
      <c r="I82" s="77">
        <v>30</v>
      </c>
      <c r="J82" s="77">
        <v>30</v>
      </c>
      <c r="K82" s="77">
        <v>30</v>
      </c>
      <c r="L82" s="77">
        <v>30</v>
      </c>
      <c r="M82" s="77">
        <v>30</v>
      </c>
      <c r="N82" s="77">
        <v>30</v>
      </c>
      <c r="O82" s="77">
        <v>30</v>
      </c>
      <c r="P82" s="77">
        <v>30</v>
      </c>
      <c r="Q82" s="77">
        <v>30</v>
      </c>
      <c r="R82" s="77">
        <v>30</v>
      </c>
      <c r="S82" s="77">
        <v>30</v>
      </c>
      <c r="T82" s="82">
        <v>30</v>
      </c>
      <c r="U82" s="72">
        <f t="shared" si="17"/>
        <v>30</v>
      </c>
      <c r="V82" s="7">
        <f t="shared" si="18"/>
        <v>27</v>
      </c>
      <c r="W82" s="54">
        <f t="shared" si="19"/>
        <v>33</v>
      </c>
      <c r="X82" s="9">
        <f t="shared" si="20"/>
        <v>30</v>
      </c>
      <c r="Y82" s="57">
        <f t="shared" si="21"/>
        <v>27</v>
      </c>
      <c r="Z82" s="60">
        <f t="shared" si="14"/>
        <v>33</v>
      </c>
    </row>
    <row r="83" spans="4:26" hidden="1" x14ac:dyDescent="0.3">
      <c r="D83" s="11" t="s">
        <v>148</v>
      </c>
      <c r="E83" s="81">
        <v>30</v>
      </c>
      <c r="F83" s="77">
        <v>30</v>
      </c>
      <c r="G83" s="77">
        <v>30</v>
      </c>
      <c r="H83" s="77">
        <v>30</v>
      </c>
      <c r="I83" s="77">
        <v>30</v>
      </c>
      <c r="J83" s="77">
        <v>30</v>
      </c>
      <c r="K83" s="77">
        <v>30</v>
      </c>
      <c r="L83" s="77">
        <v>30</v>
      </c>
      <c r="M83" s="77">
        <v>30</v>
      </c>
      <c r="N83" s="77">
        <v>30</v>
      </c>
      <c r="O83" s="77">
        <v>30</v>
      </c>
      <c r="P83" s="77">
        <v>30</v>
      </c>
      <c r="Q83" s="77">
        <v>30</v>
      </c>
      <c r="R83" s="77">
        <v>30</v>
      </c>
      <c r="S83" s="77">
        <v>30</v>
      </c>
      <c r="T83" s="82">
        <v>30</v>
      </c>
      <c r="U83" s="72">
        <f t="shared" si="17"/>
        <v>30</v>
      </c>
      <c r="V83" s="7">
        <f t="shared" si="18"/>
        <v>27</v>
      </c>
      <c r="W83" s="54">
        <f t="shared" si="19"/>
        <v>33</v>
      </c>
      <c r="X83" s="9">
        <f t="shared" si="20"/>
        <v>30</v>
      </c>
      <c r="Y83" s="57">
        <f t="shared" si="21"/>
        <v>27</v>
      </c>
      <c r="Z83" s="60">
        <f t="shared" si="14"/>
        <v>33</v>
      </c>
    </row>
    <row r="84" spans="4:26" hidden="1" x14ac:dyDescent="0.3">
      <c r="D84" s="11" t="s">
        <v>149</v>
      </c>
      <c r="E84" s="81">
        <v>30</v>
      </c>
      <c r="F84" s="77">
        <v>30</v>
      </c>
      <c r="G84" s="77">
        <v>30</v>
      </c>
      <c r="H84" s="77">
        <v>30</v>
      </c>
      <c r="I84" s="77">
        <v>30</v>
      </c>
      <c r="J84" s="77">
        <v>30</v>
      </c>
      <c r="K84" s="77">
        <v>30</v>
      </c>
      <c r="L84" s="77">
        <v>30</v>
      </c>
      <c r="M84" s="77">
        <v>30</v>
      </c>
      <c r="N84" s="77">
        <v>30</v>
      </c>
      <c r="O84" s="77">
        <v>30</v>
      </c>
      <c r="P84" s="77">
        <v>30</v>
      </c>
      <c r="Q84" s="77">
        <v>30</v>
      </c>
      <c r="R84" s="77">
        <v>30</v>
      </c>
      <c r="S84" s="77">
        <v>30</v>
      </c>
      <c r="T84" s="82">
        <v>30</v>
      </c>
      <c r="U84" s="72">
        <f t="shared" si="17"/>
        <v>30</v>
      </c>
      <c r="V84" s="7">
        <f t="shared" si="18"/>
        <v>27</v>
      </c>
      <c r="W84" s="54">
        <f t="shared" si="19"/>
        <v>33</v>
      </c>
      <c r="X84" s="9">
        <f t="shared" si="20"/>
        <v>30</v>
      </c>
      <c r="Y84" s="57">
        <f t="shared" si="21"/>
        <v>27</v>
      </c>
      <c r="Z84" s="60">
        <f t="shared" si="14"/>
        <v>33</v>
      </c>
    </row>
    <row r="85" spans="4:26" hidden="1" x14ac:dyDescent="0.3">
      <c r="D85" s="11" t="s">
        <v>150</v>
      </c>
      <c r="E85" s="81">
        <v>30</v>
      </c>
      <c r="F85" s="77">
        <v>30</v>
      </c>
      <c r="G85" s="77">
        <v>30</v>
      </c>
      <c r="H85" s="77">
        <v>30</v>
      </c>
      <c r="I85" s="77">
        <v>30</v>
      </c>
      <c r="J85" s="77">
        <v>30</v>
      </c>
      <c r="K85" s="77">
        <v>30</v>
      </c>
      <c r="L85" s="77">
        <v>30</v>
      </c>
      <c r="M85" s="77">
        <v>30</v>
      </c>
      <c r="N85" s="77">
        <v>30</v>
      </c>
      <c r="O85" s="77">
        <v>30</v>
      </c>
      <c r="P85" s="77">
        <v>30</v>
      </c>
      <c r="Q85" s="77">
        <v>30</v>
      </c>
      <c r="R85" s="77">
        <v>30</v>
      </c>
      <c r="S85" s="77">
        <v>30</v>
      </c>
      <c r="T85" s="82">
        <v>30</v>
      </c>
      <c r="U85" s="72">
        <f t="shared" si="17"/>
        <v>30</v>
      </c>
      <c r="V85" s="7">
        <f t="shared" si="18"/>
        <v>27</v>
      </c>
      <c r="W85" s="54">
        <f t="shared" si="19"/>
        <v>33</v>
      </c>
      <c r="X85" s="9">
        <f t="shared" si="20"/>
        <v>30</v>
      </c>
      <c r="Y85" s="57">
        <f t="shared" si="21"/>
        <v>27</v>
      </c>
      <c r="Z85" s="60">
        <f t="shared" si="14"/>
        <v>33</v>
      </c>
    </row>
    <row r="86" spans="4:26" hidden="1" x14ac:dyDescent="0.3">
      <c r="D86" s="11" t="s">
        <v>151</v>
      </c>
      <c r="E86" s="81">
        <v>30</v>
      </c>
      <c r="F86" s="77">
        <v>30</v>
      </c>
      <c r="G86" s="77">
        <v>30</v>
      </c>
      <c r="H86" s="77">
        <v>30</v>
      </c>
      <c r="I86" s="77">
        <v>30</v>
      </c>
      <c r="J86" s="77">
        <v>30</v>
      </c>
      <c r="K86" s="77">
        <v>30</v>
      </c>
      <c r="L86" s="77">
        <v>30</v>
      </c>
      <c r="M86" s="77">
        <v>30</v>
      </c>
      <c r="N86" s="77">
        <v>30</v>
      </c>
      <c r="O86" s="77">
        <v>30</v>
      </c>
      <c r="P86" s="77">
        <v>30</v>
      </c>
      <c r="Q86" s="77">
        <v>30</v>
      </c>
      <c r="R86" s="77">
        <v>30</v>
      </c>
      <c r="S86" s="77">
        <v>30</v>
      </c>
      <c r="T86" s="82">
        <v>30</v>
      </c>
      <c r="U86" s="72">
        <f t="shared" si="17"/>
        <v>30</v>
      </c>
      <c r="V86" s="7">
        <f t="shared" si="18"/>
        <v>27</v>
      </c>
      <c r="W86" s="54">
        <f t="shared" si="19"/>
        <v>33</v>
      </c>
      <c r="X86" s="9">
        <f t="shared" si="20"/>
        <v>30</v>
      </c>
      <c r="Y86" s="57">
        <f t="shared" si="21"/>
        <v>27</v>
      </c>
      <c r="Z86" s="60">
        <f t="shared" si="14"/>
        <v>33</v>
      </c>
    </row>
    <row r="87" spans="4:26" hidden="1" x14ac:dyDescent="0.3">
      <c r="D87" s="11" t="s">
        <v>152</v>
      </c>
      <c r="E87" s="81">
        <v>30</v>
      </c>
      <c r="F87" s="77">
        <v>30</v>
      </c>
      <c r="G87" s="77">
        <v>30</v>
      </c>
      <c r="H87" s="77">
        <v>30</v>
      </c>
      <c r="I87" s="77">
        <v>30</v>
      </c>
      <c r="J87" s="77">
        <v>30</v>
      </c>
      <c r="K87" s="77">
        <v>30</v>
      </c>
      <c r="L87" s="77">
        <v>30</v>
      </c>
      <c r="M87" s="77">
        <v>30</v>
      </c>
      <c r="N87" s="77">
        <v>30</v>
      </c>
      <c r="O87" s="77">
        <v>30</v>
      </c>
      <c r="P87" s="77">
        <v>30</v>
      </c>
      <c r="Q87" s="77">
        <v>30</v>
      </c>
      <c r="R87" s="77">
        <v>30</v>
      </c>
      <c r="S87" s="77">
        <v>30</v>
      </c>
      <c r="T87" s="82">
        <v>30</v>
      </c>
      <c r="U87" s="72">
        <f t="shared" si="17"/>
        <v>30</v>
      </c>
      <c r="V87" s="7">
        <f t="shared" si="18"/>
        <v>27</v>
      </c>
      <c r="W87" s="54">
        <f t="shared" si="19"/>
        <v>33</v>
      </c>
      <c r="X87" s="9">
        <f t="shared" si="20"/>
        <v>30</v>
      </c>
      <c r="Y87" s="57">
        <f t="shared" si="21"/>
        <v>27</v>
      </c>
      <c r="Z87" s="60">
        <f t="shared" si="14"/>
        <v>33</v>
      </c>
    </row>
    <row r="88" spans="4:26" ht="15" hidden="1" thickBot="1" x14ac:dyDescent="0.35">
      <c r="D88" s="12" t="s">
        <v>153</v>
      </c>
      <c r="E88" s="83">
        <v>30</v>
      </c>
      <c r="F88" s="84">
        <v>30</v>
      </c>
      <c r="G88" s="84">
        <v>30</v>
      </c>
      <c r="H88" s="84">
        <v>30</v>
      </c>
      <c r="I88" s="84">
        <v>30</v>
      </c>
      <c r="J88" s="84">
        <v>30</v>
      </c>
      <c r="K88" s="84">
        <v>30</v>
      </c>
      <c r="L88" s="84">
        <v>30</v>
      </c>
      <c r="M88" s="84">
        <v>30</v>
      </c>
      <c r="N88" s="84">
        <v>30</v>
      </c>
      <c r="O88" s="84">
        <v>30</v>
      </c>
      <c r="P88" s="84">
        <v>30</v>
      </c>
      <c r="Q88" s="84">
        <v>30</v>
      </c>
      <c r="R88" s="84">
        <v>30</v>
      </c>
      <c r="S88" s="84">
        <v>30</v>
      </c>
      <c r="T88" s="85">
        <v>30</v>
      </c>
      <c r="U88" s="73">
        <f t="shared" si="17"/>
        <v>30</v>
      </c>
      <c r="V88" s="8">
        <f t="shared" si="18"/>
        <v>27</v>
      </c>
      <c r="W88" s="55">
        <f t="shared" si="19"/>
        <v>33</v>
      </c>
      <c r="X88" s="10">
        <f t="shared" si="20"/>
        <v>30</v>
      </c>
      <c r="Y88" s="58">
        <f t="shared" si="21"/>
        <v>27</v>
      </c>
      <c r="Z88" s="61">
        <f t="shared" si="14"/>
        <v>33</v>
      </c>
    </row>
    <row r="89" spans="4:26" ht="15" thickBot="1" x14ac:dyDescent="0.35"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 spans="4:26" x14ac:dyDescent="0.3">
      <c r="D90" s="45"/>
      <c r="E90" s="66"/>
      <c r="F90" s="67" t="s">
        <v>154</v>
      </c>
      <c r="G90" s="68"/>
      <c r="H90" s="68"/>
      <c r="I90" s="69"/>
      <c r="J90" s="69"/>
      <c r="K90" s="70"/>
      <c r="L90" s="46"/>
      <c r="M90" s="46"/>
      <c r="N90" s="46"/>
      <c r="O90" s="46"/>
      <c r="P90" s="46"/>
      <c r="Q90" s="46"/>
      <c r="R90" s="46"/>
      <c r="S90" s="46"/>
      <c r="T90" s="46"/>
    </row>
    <row r="91" spans="4:26" x14ac:dyDescent="0.3">
      <c r="E91" s="63"/>
      <c r="F91" s="20" t="s">
        <v>7</v>
      </c>
      <c r="G91" s="18"/>
      <c r="H91" s="18"/>
      <c r="I91" s="19"/>
      <c r="J91" s="19"/>
      <c r="K91" s="21"/>
    </row>
    <row r="92" spans="4:26" x14ac:dyDescent="0.3">
      <c r="E92" s="62"/>
      <c r="F92" s="20" t="s">
        <v>8</v>
      </c>
      <c r="G92" s="18"/>
      <c r="H92" s="18"/>
      <c r="I92" s="19"/>
      <c r="J92" s="19"/>
      <c r="K92" s="21"/>
    </row>
    <row r="93" spans="4:26" ht="15" thickBot="1" x14ac:dyDescent="0.35">
      <c r="E93" s="64"/>
      <c r="F93" s="22" t="s">
        <v>9</v>
      </c>
      <c r="G93" s="23"/>
      <c r="H93" s="23"/>
      <c r="I93" s="24"/>
      <c r="J93" s="24"/>
      <c r="K93" s="25"/>
    </row>
  </sheetData>
  <sortState xmlns:xlrd2="http://schemas.microsoft.com/office/spreadsheetml/2017/richdata2" ref="E29:U29">
    <sortCondition ref="E29"/>
  </sortState>
  <mergeCells count="8">
    <mergeCell ref="D2:D3"/>
    <mergeCell ref="E2:T2"/>
    <mergeCell ref="U2:W2"/>
    <mergeCell ref="X2:Z2"/>
    <mergeCell ref="D49:D50"/>
    <mergeCell ref="E49:T49"/>
    <mergeCell ref="U49:W49"/>
    <mergeCell ref="X49:Z49"/>
  </mergeCells>
  <phoneticPr fontId="13" type="noConversion"/>
  <conditionalFormatting sqref="D42:F42 L43:T43">
    <cfRule type="cellIs" dxfId="15" priority="41" operator="greaterThan">
      <formula>$W42</formula>
    </cfRule>
  </conditionalFormatting>
  <conditionalFormatting sqref="D89:F89 L90:T90 E75:F88 G75:T89">
    <cfRule type="cellIs" dxfId="14" priority="22" operator="lessThan">
      <formula>$V75</formula>
    </cfRule>
  </conditionalFormatting>
  <conditionalFormatting sqref="D89:F89 L90:T90">
    <cfRule type="cellIs" dxfId="13" priority="21" operator="greaterThan">
      <formula>$W89</formula>
    </cfRule>
  </conditionalFormatting>
  <conditionalFormatting sqref="E75:F88 G75:T89 D89:F89 L90:T90">
    <cfRule type="cellIs" dxfId="12" priority="23" operator="lessThan">
      <formula>$Y75</formula>
    </cfRule>
    <cfRule type="cellIs" dxfId="11" priority="24" operator="greaterThan">
      <formula>$Z75</formula>
    </cfRule>
  </conditionalFormatting>
  <conditionalFormatting sqref="E4:T41">
    <cfRule type="cellIs" dxfId="10" priority="25" operator="lessThan">
      <formula>$V4</formula>
    </cfRule>
    <cfRule type="cellIs" dxfId="9" priority="27" operator="lessThan">
      <formula>$Y4</formula>
    </cfRule>
    <cfRule type="cellIs" dxfId="8" priority="28" operator="greaterThan">
      <formula>$Z4</formula>
    </cfRule>
  </conditionalFormatting>
  <conditionalFormatting sqref="E4:T42">
    <cfRule type="cellIs" dxfId="7" priority="26" operator="greaterThan">
      <formula>$W4</formula>
    </cfRule>
  </conditionalFormatting>
  <conditionalFormatting sqref="E28:T42 D42:F42 L43:T43">
    <cfRule type="cellIs" dxfId="6" priority="42" operator="lessThan">
      <formula>$V28</formula>
    </cfRule>
    <cfRule type="cellIs" dxfId="5" priority="43" operator="lessThan">
      <formula>$Y28</formula>
    </cfRule>
    <cfRule type="cellIs" dxfId="4" priority="44" operator="greaterThan">
      <formula>$Z28</formula>
    </cfRule>
  </conditionalFormatting>
  <conditionalFormatting sqref="E51:T88">
    <cfRule type="cellIs" dxfId="3" priority="1" operator="lessThan">
      <formula>$V51</formula>
    </cfRule>
    <cfRule type="cellIs" dxfId="2" priority="3" operator="lessThan">
      <formula>$Y51</formula>
    </cfRule>
    <cfRule type="cellIs" dxfId="1" priority="4" operator="greaterThan">
      <formula>$Z51</formula>
    </cfRule>
  </conditionalFormatting>
  <conditionalFormatting sqref="E51:T89">
    <cfRule type="cellIs" dxfId="0" priority="2" operator="greaterThan">
      <formula>$W51</formula>
    </cfRule>
  </conditionalFormatting>
  <pageMargins left="0.7" right="0.7" top="0.75" bottom="0.75" header="0.3" footer="0.3"/>
  <pageSetup paperSize="9" scale="2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C7F5-77CA-4CDD-B410-850DF7B9FABC}">
  <dimension ref="G2:V36"/>
  <sheetViews>
    <sheetView tabSelected="1" topLeftCell="E1" workbookViewId="0">
      <selection activeCell="K12" sqref="K12"/>
    </sheetView>
  </sheetViews>
  <sheetFormatPr defaultRowHeight="14.4" x14ac:dyDescent="0.3"/>
  <sheetData>
    <row r="2" spans="7:15" ht="15" thickBot="1" x14ac:dyDescent="0.35"/>
    <row r="3" spans="7:15" ht="15" thickBot="1" x14ac:dyDescent="0.35">
      <c r="N3" s="51" t="s">
        <v>155</v>
      </c>
      <c r="O3" s="86">
        <v>0.67</v>
      </c>
    </row>
    <row r="4" spans="7:15" ht="15" thickBot="1" x14ac:dyDescent="0.35">
      <c r="N4" s="52" t="s">
        <v>156</v>
      </c>
      <c r="O4" s="87">
        <v>0.63</v>
      </c>
    </row>
    <row r="5" spans="7:15" ht="15" thickBot="1" x14ac:dyDescent="0.35">
      <c r="G5" s="88">
        <v>35.130000000000003</v>
      </c>
      <c r="H5" s="89">
        <v>60</v>
      </c>
      <c r="I5" s="89">
        <f>H5/100</f>
        <v>0.6</v>
      </c>
      <c r="J5" s="5">
        <f>G5*I5</f>
        <v>21.077999999999999</v>
      </c>
      <c r="K5" s="5">
        <f xml:space="preserve"> 0.0054*J5*J5 + 1.0411*J5 - 15.214</f>
        <v>9.1294290535999973</v>
      </c>
      <c r="N5" s="52" t="s">
        <v>157</v>
      </c>
      <c r="O5" s="87">
        <v>0.6</v>
      </c>
    </row>
    <row r="6" spans="7:15" ht="15" thickBot="1" x14ac:dyDescent="0.35">
      <c r="G6" s="88">
        <v>31</v>
      </c>
      <c r="H6" s="89">
        <v>63</v>
      </c>
      <c r="I6" s="89">
        <f t="shared" ref="I6:I26" si="0">H6/100</f>
        <v>0.63</v>
      </c>
      <c r="J6" s="5">
        <f t="shared" ref="J6:J26" si="1">G6*I6</f>
        <v>19.53</v>
      </c>
      <c r="K6" s="5">
        <f t="shared" ref="K6:K25" si="2" xml:space="preserve"> 0.0054*J6*J6 + 1.0411*J6 - 15.214</f>
        <v>7.1783558599999981</v>
      </c>
    </row>
    <row r="7" spans="7:15" ht="15" thickBot="1" x14ac:dyDescent="0.35">
      <c r="G7" s="88">
        <v>32</v>
      </c>
      <c r="H7" s="89">
        <v>63</v>
      </c>
      <c r="I7" s="89">
        <f t="shared" si="0"/>
        <v>0.63</v>
      </c>
      <c r="J7" s="5">
        <f t="shared" si="1"/>
        <v>20.16</v>
      </c>
      <c r="K7" s="5">
        <f t="shared" si="2"/>
        <v>7.969274239999999</v>
      </c>
    </row>
    <row r="8" spans="7:15" ht="15" thickBot="1" x14ac:dyDescent="0.35">
      <c r="G8" s="90">
        <v>37.08</v>
      </c>
      <c r="H8" s="89">
        <v>60</v>
      </c>
      <c r="I8" s="89">
        <f t="shared" si="0"/>
        <v>0.6</v>
      </c>
      <c r="J8" s="5">
        <f t="shared" si="1"/>
        <v>22.247999999999998</v>
      </c>
      <c r="K8" s="5">
        <f t="shared" si="2"/>
        <v>10.621249721599993</v>
      </c>
    </row>
    <row r="9" spans="7:15" ht="15" thickBot="1" x14ac:dyDescent="0.35">
      <c r="G9" s="91">
        <v>36.380000000000003</v>
      </c>
      <c r="H9" s="89">
        <v>60</v>
      </c>
      <c r="I9" s="89">
        <f t="shared" si="0"/>
        <v>0.6</v>
      </c>
      <c r="J9" s="5">
        <f t="shared" si="1"/>
        <v>21.827999999999999</v>
      </c>
      <c r="K9" s="5">
        <f t="shared" si="2"/>
        <v>10.084023353599997</v>
      </c>
      <c r="M9" s="5">
        <f>AVERAGE(J5:J26)</f>
        <v>21.107399999999998</v>
      </c>
      <c r="N9" s="5">
        <f>AVERAGE(K5:K26)</f>
        <v>8.9293961283747265</v>
      </c>
    </row>
    <row r="10" spans="7:15" ht="15" thickBot="1" x14ac:dyDescent="0.35">
      <c r="G10" s="91">
        <v>41</v>
      </c>
      <c r="H10" s="89">
        <v>60</v>
      </c>
      <c r="I10" s="89">
        <f t="shared" si="0"/>
        <v>0.6</v>
      </c>
      <c r="J10" s="5">
        <f t="shared" si="1"/>
        <v>24.599999999999998</v>
      </c>
      <c r="K10" s="5">
        <f t="shared" si="2"/>
        <v>13.664923999999994</v>
      </c>
      <c r="M10" s="5">
        <f>_xlfn.STDEV.P(J5:J26)</f>
        <v>1.5154298841042964</v>
      </c>
      <c r="N10" s="5">
        <f>_xlfn.STDEV.P(K5:K26)</f>
        <v>1.5124229331586534</v>
      </c>
      <c r="O10" s="89">
        <f>M10/M9</f>
        <v>7.1796141831978189E-2</v>
      </c>
    </row>
    <row r="11" spans="7:15" ht="15" thickBot="1" x14ac:dyDescent="0.35">
      <c r="G11" s="91">
        <v>38.08</v>
      </c>
      <c r="H11" s="89">
        <v>60</v>
      </c>
      <c r="I11" s="89">
        <f t="shared" si="0"/>
        <v>0.6</v>
      </c>
      <c r="J11" s="5">
        <f t="shared" si="1"/>
        <v>22.847999999999999</v>
      </c>
      <c r="K11" s="5">
        <f t="shared" si="2"/>
        <v>11.392020761599996</v>
      </c>
    </row>
    <row r="12" spans="7:15" ht="15" thickBot="1" x14ac:dyDescent="0.35">
      <c r="G12" s="91">
        <v>32</v>
      </c>
      <c r="H12" s="89">
        <v>63</v>
      </c>
      <c r="I12" s="89">
        <f t="shared" si="0"/>
        <v>0.63</v>
      </c>
      <c r="J12" s="5">
        <f>G12*I12</f>
        <v>20.16</v>
      </c>
      <c r="K12" s="5">
        <f t="shared" si="2"/>
        <v>7.969274239999999</v>
      </c>
    </row>
    <row r="13" spans="7:15" ht="15" thickBot="1" x14ac:dyDescent="0.35">
      <c r="G13" s="91">
        <v>31.92</v>
      </c>
      <c r="H13" s="89">
        <v>63</v>
      </c>
      <c r="I13" s="89">
        <f t="shared" si="0"/>
        <v>0.63</v>
      </c>
      <c r="J13" s="5">
        <f t="shared" si="1"/>
        <v>20.1096</v>
      </c>
      <c r="K13" s="5">
        <f t="shared" si="2"/>
        <v>7.9058430256639998</v>
      </c>
      <c r="M13" s="92">
        <f>M10/M9</f>
        <v>7.1796141831978189E-2</v>
      </c>
      <c r="N13" s="92">
        <f>N10/N9</f>
        <v>0.16937572389163738</v>
      </c>
    </row>
    <row r="14" spans="7:15" ht="15" thickBot="1" x14ac:dyDescent="0.35">
      <c r="G14" s="91">
        <v>33.25</v>
      </c>
      <c r="H14" s="89">
        <v>63</v>
      </c>
      <c r="I14" s="89">
        <f t="shared" si="0"/>
        <v>0.63</v>
      </c>
      <c r="J14" s="5">
        <f t="shared" si="1"/>
        <v>20.947500000000002</v>
      </c>
      <c r="K14" s="5">
        <f t="shared" si="2"/>
        <v>8.9639501337499983</v>
      </c>
    </row>
    <row r="15" spans="7:15" ht="15" thickBot="1" x14ac:dyDescent="0.35">
      <c r="G15" s="91">
        <v>32.5</v>
      </c>
      <c r="H15" s="89">
        <v>63</v>
      </c>
      <c r="I15" s="89">
        <f t="shared" si="0"/>
        <v>0.63</v>
      </c>
      <c r="J15" s="5">
        <f t="shared" si="1"/>
        <v>20.475000000000001</v>
      </c>
      <c r="K15" s="5">
        <f t="shared" si="2"/>
        <v>8.3663408750000006</v>
      </c>
    </row>
    <row r="16" spans="7:15" ht="15" thickBot="1" x14ac:dyDescent="0.35">
      <c r="G16" s="91">
        <v>31.5</v>
      </c>
      <c r="H16" s="89">
        <v>63</v>
      </c>
      <c r="I16" s="89">
        <f t="shared" si="0"/>
        <v>0.63</v>
      </c>
      <c r="J16" s="5">
        <f t="shared" si="1"/>
        <v>19.844999999999999</v>
      </c>
      <c r="K16" s="5">
        <f t="shared" si="2"/>
        <v>7.5732792349999993</v>
      </c>
    </row>
    <row r="17" spans="7:22" ht="15" thickBot="1" x14ac:dyDescent="0.35">
      <c r="G17" s="91">
        <v>32.21</v>
      </c>
      <c r="H17" s="89">
        <v>63</v>
      </c>
      <c r="I17" s="89">
        <f t="shared" si="0"/>
        <v>0.63</v>
      </c>
      <c r="J17" s="5">
        <f t="shared" si="1"/>
        <v>20.292300000000001</v>
      </c>
      <c r="K17" s="5">
        <f t="shared" si="2"/>
        <v>8.1359117021660001</v>
      </c>
    </row>
    <row r="18" spans="7:22" ht="15" thickBot="1" x14ac:dyDescent="0.35">
      <c r="G18" s="91">
        <v>33</v>
      </c>
      <c r="H18" s="89">
        <v>63</v>
      </c>
      <c r="I18" s="89">
        <f t="shared" si="0"/>
        <v>0.63</v>
      </c>
      <c r="J18" s="5">
        <f t="shared" si="1"/>
        <v>20.79</v>
      </c>
      <c r="K18" s="5">
        <f t="shared" si="2"/>
        <v>8.7644791399999971</v>
      </c>
    </row>
    <row r="19" spans="7:22" ht="15" thickBot="1" x14ac:dyDescent="0.35">
      <c r="G19" s="91">
        <v>30.08</v>
      </c>
      <c r="H19" s="89">
        <v>63</v>
      </c>
      <c r="I19" s="89">
        <f t="shared" si="0"/>
        <v>0.63</v>
      </c>
      <c r="J19" s="5">
        <f t="shared" si="1"/>
        <v>18.950399999999998</v>
      </c>
      <c r="K19" s="5">
        <f t="shared" si="2"/>
        <v>6.4544968048639983</v>
      </c>
    </row>
    <row r="20" spans="7:22" ht="15" thickBot="1" x14ac:dyDescent="0.35">
      <c r="G20" s="91">
        <v>34.380000000000003</v>
      </c>
      <c r="H20" s="89">
        <v>60</v>
      </c>
      <c r="I20" s="89">
        <f t="shared" si="0"/>
        <v>0.6</v>
      </c>
      <c r="J20" s="5">
        <f t="shared" si="1"/>
        <v>20.628</v>
      </c>
      <c r="K20" s="5">
        <f t="shared" si="2"/>
        <v>8.5595884735999963</v>
      </c>
    </row>
    <row r="21" spans="7:22" ht="15" thickBot="1" x14ac:dyDescent="0.35">
      <c r="G21" s="91">
        <v>32.5</v>
      </c>
      <c r="H21" s="89">
        <v>63</v>
      </c>
      <c r="I21" s="89">
        <f t="shared" si="0"/>
        <v>0.63</v>
      </c>
      <c r="J21" s="5">
        <f t="shared" si="1"/>
        <v>20.475000000000001</v>
      </c>
      <c r="K21" s="5">
        <f t="shared" si="2"/>
        <v>8.3663408750000006</v>
      </c>
    </row>
    <row r="22" spans="7:22" ht="15" thickBot="1" x14ac:dyDescent="0.35">
      <c r="G22" s="91">
        <v>34</v>
      </c>
      <c r="H22" s="89">
        <v>60</v>
      </c>
      <c r="I22" s="89">
        <f t="shared" si="0"/>
        <v>0.6</v>
      </c>
      <c r="J22" s="5">
        <f t="shared" si="1"/>
        <v>20.399999999999999</v>
      </c>
      <c r="K22" s="5">
        <f t="shared" si="2"/>
        <v>8.2717039999999979</v>
      </c>
    </row>
    <row r="23" spans="7:22" ht="15" thickBot="1" x14ac:dyDescent="0.35">
      <c r="G23" s="91">
        <v>34.29</v>
      </c>
      <c r="H23" s="89">
        <v>60</v>
      </c>
      <c r="I23" s="89">
        <f t="shared" si="0"/>
        <v>0.6</v>
      </c>
      <c r="J23" s="5">
        <f t="shared" si="1"/>
        <v>20.573999999999998</v>
      </c>
      <c r="K23" s="5">
        <f t="shared" si="2"/>
        <v>8.4913545703999933</v>
      </c>
      <c r="Q23">
        <v>25</v>
      </c>
      <c r="R23">
        <v>14</v>
      </c>
      <c r="U23">
        <v>26</v>
      </c>
      <c r="V23">
        <v>10</v>
      </c>
    </row>
    <row r="24" spans="7:22" ht="15" thickBot="1" x14ac:dyDescent="0.35">
      <c r="G24" s="91">
        <v>36.44</v>
      </c>
      <c r="H24" s="89">
        <v>60</v>
      </c>
      <c r="I24" s="89">
        <f t="shared" si="0"/>
        <v>0.6</v>
      </c>
      <c r="J24" s="5">
        <f t="shared" si="1"/>
        <v>21.863999999999997</v>
      </c>
      <c r="K24" s="5">
        <f t="shared" si="2"/>
        <v>10.129996678399996</v>
      </c>
      <c r="Q24">
        <v>30</v>
      </c>
      <c r="R24">
        <v>21</v>
      </c>
      <c r="U24">
        <v>30</v>
      </c>
      <c r="V24">
        <v>15</v>
      </c>
    </row>
    <row r="25" spans="7:22" ht="15" thickBot="1" x14ac:dyDescent="0.35">
      <c r="G25" s="91">
        <v>35.200000000000003</v>
      </c>
      <c r="H25" s="89">
        <v>60</v>
      </c>
      <c r="I25" s="89">
        <f t="shared" si="0"/>
        <v>0.6</v>
      </c>
      <c r="J25" s="5">
        <f t="shared" si="1"/>
        <v>21.12</v>
      </c>
      <c r="K25" s="5">
        <f t="shared" si="2"/>
        <v>9.1827257600000021</v>
      </c>
      <c r="Q25">
        <v>35</v>
      </c>
      <c r="R25">
        <v>28</v>
      </c>
      <c r="U25">
        <v>35</v>
      </c>
      <c r="V25">
        <v>22</v>
      </c>
    </row>
    <row r="26" spans="7:22" ht="15" thickBot="1" x14ac:dyDescent="0.35">
      <c r="G26" s="91">
        <v>42.4</v>
      </c>
      <c r="H26" s="89">
        <v>60</v>
      </c>
      <c r="I26" s="89">
        <f t="shared" si="0"/>
        <v>0.6</v>
      </c>
      <c r="J26" s="5">
        <f t="shared" si="1"/>
        <v>25.439999999999998</v>
      </c>
      <c r="K26" s="5">
        <f xml:space="preserve"> 0.0062*J26*J26 + 0.9433*J26 - 18.738</f>
        <v>9.2721523199999965</v>
      </c>
      <c r="Q26">
        <v>40</v>
      </c>
      <c r="R26">
        <v>35</v>
      </c>
      <c r="U26">
        <v>40</v>
      </c>
      <c r="V26">
        <v>29</v>
      </c>
    </row>
    <row r="27" spans="7:22" x14ac:dyDescent="0.3">
      <c r="Q27">
        <v>45</v>
      </c>
      <c r="R27">
        <v>42</v>
      </c>
      <c r="U27">
        <v>45</v>
      </c>
      <c r="V27">
        <v>36</v>
      </c>
    </row>
    <row r="28" spans="7:22" x14ac:dyDescent="0.3">
      <c r="Q28">
        <v>50</v>
      </c>
      <c r="R28">
        <v>50.5</v>
      </c>
      <c r="U28">
        <v>50</v>
      </c>
      <c r="V28">
        <v>44</v>
      </c>
    </row>
    <row r="30" spans="7:22" x14ac:dyDescent="0.3">
      <c r="T30" s="93">
        <f xml:space="preserve"> 0.0062*U23*U23 + 0.9433*U23 - 18.738</f>
        <v>9.9789999999999992</v>
      </c>
    </row>
    <row r="31" spans="7:22" x14ac:dyDescent="0.3">
      <c r="Q31" s="93">
        <f xml:space="preserve"> 0.0054*Q23*Q23 + 1.0411*Q23 - 15.214</f>
        <v>14.188499999999996</v>
      </c>
      <c r="T31" s="93">
        <f t="shared" ref="T31:T35" si="3" xml:space="preserve"> 0.0062*U24*U24 + 0.9433*U24 - 18.738</f>
        <v>15.140999999999998</v>
      </c>
    </row>
    <row r="32" spans="7:22" x14ac:dyDescent="0.3">
      <c r="Q32" s="93">
        <f t="shared" ref="Q32:Q36" si="4" xml:space="preserve"> 0.0054*Q24*Q24 + 1.0411*Q24 - 15.214</f>
        <v>20.878999999999998</v>
      </c>
      <c r="T32" s="93">
        <f t="shared" si="3"/>
        <v>21.872500000000002</v>
      </c>
    </row>
    <row r="33" spans="17:20" x14ac:dyDescent="0.3">
      <c r="Q33" s="93">
        <f t="shared" si="4"/>
        <v>27.839500000000001</v>
      </c>
      <c r="T33" s="93">
        <f t="shared" si="3"/>
        <v>28.914000000000001</v>
      </c>
    </row>
    <row r="34" spans="17:20" x14ac:dyDescent="0.3">
      <c r="Q34" s="93">
        <f t="shared" si="4"/>
        <v>35.07</v>
      </c>
      <c r="T34" s="93">
        <f t="shared" si="3"/>
        <v>36.265500000000003</v>
      </c>
    </row>
    <row r="35" spans="17:20" x14ac:dyDescent="0.3">
      <c r="Q35" s="93">
        <f t="shared" si="4"/>
        <v>42.570500000000003</v>
      </c>
      <c r="T35" s="93">
        <f t="shared" si="3"/>
        <v>43.927</v>
      </c>
    </row>
    <row r="36" spans="17:20" x14ac:dyDescent="0.3">
      <c r="Q36" s="93">
        <f t="shared" si="4"/>
        <v>50.340999999999994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977724-8BF9-4D03-958A-29C888F514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</vt:lpstr>
      <vt:lpstr>Table3</vt:lpstr>
      <vt:lpstr>TABELA CARBONATACAO</vt:lpstr>
      <vt:lpstr>Sheet1</vt:lpstr>
      <vt:lpstr>TABELA_ESCLEROMETRIA REV (2)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Capela</dc:creator>
  <cp:lastModifiedBy>Remo Magalhães de Souza</cp:lastModifiedBy>
  <cp:lastPrinted>2025-12-16T23:07:35Z</cp:lastPrinted>
  <dcterms:created xsi:type="dcterms:W3CDTF">2025-09-29T21:18:20Z</dcterms:created>
  <dcterms:modified xsi:type="dcterms:W3CDTF">2026-05-12T06:04:43Z</dcterms:modified>
</cp:coreProperties>
</file>